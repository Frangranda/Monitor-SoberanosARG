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cogranda/Desktop/Balanz/Monitores AI/Monitor Renta Fija ARG/"/>
    </mc:Choice>
  </mc:AlternateContent>
  <xr:revisionPtr revIDLastSave="0" documentId="13_ncr:1_{DA23EE3C-0AC3-B448-A4E3-C895CA219A7B}" xr6:coauthVersionLast="47" xr6:coauthVersionMax="47" xr10:uidLastSave="{00000000-0000-0000-0000-000000000000}"/>
  <bookViews>
    <workbookView xWindow="0" yWindow="760" windowWidth="29400" windowHeight="16940" activeTab="4" xr2:uid="{7C3A8D91-A832-4A46-9693-985FAB776CCF}"/>
  </bookViews>
  <sheets>
    <sheet name="LECAPS" sheetId="1" r:id="rId1"/>
    <sheet name="TASA FIJA" sheetId="2" r:id="rId2"/>
    <sheet name="CER" sheetId="3" r:id="rId3"/>
    <sheet name="TAMAR" sheetId="4" r:id="rId4"/>
    <sheet name="USD Linked" sheetId="5" r:id="rId5"/>
    <sheet name="USD Bonares" sheetId="7" r:id="rId6"/>
    <sheet name="USD Globales" sheetId="8" r:id="rId7"/>
    <sheet name="USD Bopreales" sheetId="9" r:id="rId8"/>
    <sheet name="Duales" sheetId="10" r:id="rId9"/>
    <sheet name="ON USD" sheetId="11" r:id="rId10"/>
    <sheet name="Subsoberanos" sheetId="12" r:id="rId11"/>
    <sheet name="ONs" sheetId="13" r:id="rId12"/>
    <sheet name="Flujos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57" i="7" l="1"/>
  <c r="G257" i="7" s="1"/>
  <c r="E258" i="7"/>
  <c r="G258" i="7" s="1"/>
  <c r="C258" i="7"/>
  <c r="E259" i="7"/>
  <c r="G259" i="7" s="1"/>
  <c r="E260" i="7"/>
  <c r="G260" i="7" s="1"/>
  <c r="C260" i="7"/>
  <c r="E262" i="7"/>
  <c r="G262" i="7" s="1"/>
  <c r="C262" i="7"/>
  <c r="E264" i="7"/>
  <c r="G264" i="7" s="1"/>
  <c r="C264" i="7"/>
  <c r="E228" i="7"/>
  <c r="G228" i="7" s="1"/>
  <c r="C256" i="7"/>
  <c r="E226" i="7"/>
  <c r="G226" i="7" s="1"/>
  <c r="G225" i="7"/>
  <c r="E154" i="7"/>
  <c r="F6" i="1"/>
  <c r="F7" i="1"/>
  <c r="F8" i="1"/>
  <c r="F9" i="1"/>
  <c r="F10" i="1"/>
  <c r="F11" i="1"/>
  <c r="F12" i="1"/>
  <c r="F13" i="1"/>
  <c r="F14" i="1"/>
  <c r="F15" i="1"/>
  <c r="F16" i="1"/>
  <c r="F17" i="1"/>
  <c r="F5" i="1"/>
  <c r="F4" i="1"/>
  <c r="F3" i="1"/>
  <c r="F2" i="1"/>
  <c r="G17" i="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37" i="11"/>
  <c r="B37" i="11"/>
  <c r="B38" i="11" s="1"/>
  <c r="B39" i="11" s="1"/>
  <c r="B40" i="11" s="1"/>
  <c r="B41" i="11" s="1"/>
  <c r="C57" i="11"/>
  <c r="C58" i="11" s="1"/>
  <c r="G56" i="11"/>
  <c r="C37" i="11"/>
  <c r="C38" i="11" s="1"/>
  <c r="G36" i="11"/>
  <c r="E22" i="11"/>
  <c r="G22" i="11" s="1"/>
  <c r="C22" i="11"/>
  <c r="E23" i="11" s="1"/>
  <c r="G23" i="11" s="1"/>
  <c r="G21" i="11"/>
  <c r="E12" i="11"/>
  <c r="G12" i="11" s="1"/>
  <c r="C12" i="11"/>
  <c r="E13" i="11" s="1"/>
  <c r="G13" i="11" s="1"/>
  <c r="G11" i="11"/>
  <c r="E4" i="11"/>
  <c r="G4" i="11" s="1"/>
  <c r="E3" i="11"/>
  <c r="G3" i="11" s="1"/>
  <c r="C3" i="11"/>
  <c r="C4" i="11" s="1"/>
  <c r="E5" i="11" s="1"/>
  <c r="G2" i="11"/>
  <c r="G16" i="1"/>
  <c r="F19" i="10"/>
  <c r="G19" i="10" s="1"/>
  <c r="F14" i="10"/>
  <c r="G14" i="10" s="1"/>
  <c r="E263" i="7" l="1"/>
  <c r="G263" i="7" s="1"/>
  <c r="E261" i="7"/>
  <c r="G261" i="7" s="1"/>
  <c r="E230" i="7"/>
  <c r="G230" i="7" s="1"/>
  <c r="E229" i="7"/>
  <c r="G229" i="7" s="1"/>
  <c r="E227" i="7"/>
  <c r="G227" i="7" s="1"/>
  <c r="E58" i="11"/>
  <c r="G58" i="11" s="1"/>
  <c r="B42" i="11"/>
  <c r="B43" i="11" s="1"/>
  <c r="E59" i="11"/>
  <c r="G59" i="11" s="1"/>
  <c r="E57" i="11"/>
  <c r="G57" i="11" s="1"/>
  <c r="C59" i="11"/>
  <c r="G39" i="11"/>
  <c r="G38" i="11"/>
  <c r="G37" i="11"/>
  <c r="C39" i="11"/>
  <c r="C23" i="11"/>
  <c r="C13" i="11"/>
  <c r="C5" i="11"/>
  <c r="E6" i="11" s="1"/>
  <c r="G5" i="11"/>
  <c r="E37" i="9"/>
  <c r="G37" i="9" s="1"/>
  <c r="E36" i="9"/>
  <c r="G36" i="9" s="1"/>
  <c r="C36" i="9"/>
  <c r="C37" i="9" s="1"/>
  <c r="G35" i="9"/>
  <c r="E35" i="9"/>
  <c r="E34" i="9"/>
  <c r="G34" i="9" s="1"/>
  <c r="E33" i="9"/>
  <c r="G33" i="9" s="1"/>
  <c r="G32" i="9"/>
  <c r="E27" i="9"/>
  <c r="G27" i="9" s="1"/>
  <c r="E26" i="9"/>
  <c r="G26" i="9" s="1"/>
  <c r="C26" i="9"/>
  <c r="C27" i="9" s="1"/>
  <c r="E25" i="9"/>
  <c r="G25" i="9" s="1"/>
  <c r="E24" i="9"/>
  <c r="G24" i="9" s="1"/>
  <c r="E23" i="9"/>
  <c r="G23" i="9" s="1"/>
  <c r="G22" i="9"/>
  <c r="E19" i="9"/>
  <c r="G19" i="9" s="1"/>
  <c r="E18" i="9"/>
  <c r="G18" i="9" s="1"/>
  <c r="C18" i="9"/>
  <c r="C19" i="9" s="1"/>
  <c r="E17" i="9"/>
  <c r="G17" i="9" s="1"/>
  <c r="E16" i="9"/>
  <c r="G16" i="9" s="1"/>
  <c r="E15" i="9"/>
  <c r="G15" i="9" s="1"/>
  <c r="E14" i="9"/>
  <c r="G14" i="9" s="1"/>
  <c r="E13" i="9"/>
  <c r="G13" i="9" s="1"/>
  <c r="G12" i="9"/>
  <c r="C8" i="9"/>
  <c r="E9" i="9" s="1"/>
  <c r="G9" i="9" s="1"/>
  <c r="E4" i="9"/>
  <c r="G4" i="9" s="1"/>
  <c r="E6" i="9"/>
  <c r="G6" i="9" s="1"/>
  <c r="E7" i="9"/>
  <c r="G7" i="9" s="1"/>
  <c r="E8" i="9"/>
  <c r="G8" i="9" s="1"/>
  <c r="E3" i="9"/>
  <c r="G3" i="9" s="1"/>
  <c r="G2" i="9"/>
  <c r="C165" i="8"/>
  <c r="C166" i="8" s="1"/>
  <c r="C167" i="8" s="1"/>
  <c r="C168" i="8" s="1"/>
  <c r="C169" i="8" s="1"/>
  <c r="C170" i="8" s="1"/>
  <c r="E158" i="8"/>
  <c r="G158" i="8" s="1"/>
  <c r="G157" i="8"/>
  <c r="C127" i="8"/>
  <c r="C126" i="8"/>
  <c r="E114" i="8"/>
  <c r="G114" i="8" s="1"/>
  <c r="G113" i="8"/>
  <c r="C89" i="8"/>
  <c r="C90" i="8" s="1"/>
  <c r="E77" i="8"/>
  <c r="G77" i="8" s="1"/>
  <c r="G76" i="8"/>
  <c r="C65" i="8"/>
  <c r="C66" i="8" s="1"/>
  <c r="C64" i="8"/>
  <c r="E46" i="8"/>
  <c r="G46" i="8" s="1"/>
  <c r="E45" i="8"/>
  <c r="G45" i="8" s="1"/>
  <c r="G44" i="8"/>
  <c r="C30" i="8"/>
  <c r="C31" i="8" s="1"/>
  <c r="C29" i="8"/>
  <c r="E24" i="8"/>
  <c r="G24" i="8" s="1"/>
  <c r="G23" i="8"/>
  <c r="E23" i="8"/>
  <c r="G22" i="8"/>
  <c r="C10" i="8"/>
  <c r="E4" i="8"/>
  <c r="G4" i="8" s="1"/>
  <c r="E3" i="8"/>
  <c r="G3" i="8" s="1"/>
  <c r="G2" i="8"/>
  <c r="C194" i="7"/>
  <c r="E183" i="7"/>
  <c r="G183" i="7" s="1"/>
  <c r="E182" i="7"/>
  <c r="G182" i="7" s="1"/>
  <c r="G181" i="7"/>
  <c r="C157" i="7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E145" i="7"/>
  <c r="G145" i="7" s="1"/>
  <c r="G144" i="7"/>
  <c r="C132" i="7"/>
  <c r="C133" i="7" s="1"/>
  <c r="C134" i="7" s="1"/>
  <c r="C135" i="7" s="1"/>
  <c r="C136" i="7" s="1"/>
  <c r="C137" i="7" s="1"/>
  <c r="E119" i="7"/>
  <c r="G119" i="7" s="1"/>
  <c r="E118" i="7"/>
  <c r="G118" i="7" s="1"/>
  <c r="E113" i="7"/>
  <c r="G113" i="7" s="1"/>
  <c r="G112" i="7"/>
  <c r="C97" i="7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E91" i="7"/>
  <c r="G91" i="7" s="1"/>
  <c r="G90" i="7"/>
  <c r="C87" i="7"/>
  <c r="E81" i="7"/>
  <c r="G81" i="7" s="1"/>
  <c r="E80" i="7"/>
  <c r="G80" i="7" s="1"/>
  <c r="G79" i="7"/>
  <c r="C68" i="7"/>
  <c r="C69" i="7" s="1"/>
  <c r="C70" i="7" s="1"/>
  <c r="C67" i="7"/>
  <c r="E61" i="7"/>
  <c r="G61" i="7" s="1"/>
  <c r="E60" i="7"/>
  <c r="G60" i="7" s="1"/>
  <c r="G59" i="7"/>
  <c r="C56" i="7"/>
  <c r="E44" i="7"/>
  <c r="G44" i="7" s="1"/>
  <c r="E45" i="7"/>
  <c r="G45" i="7" s="1"/>
  <c r="E46" i="7"/>
  <c r="G46" i="7" s="1"/>
  <c r="E47" i="7"/>
  <c r="G47" i="7" s="1"/>
  <c r="E48" i="7"/>
  <c r="G48" i="7" s="1"/>
  <c r="E49" i="7"/>
  <c r="G49" i="7" s="1"/>
  <c r="E50" i="7"/>
  <c r="G50" i="7" s="1"/>
  <c r="E51" i="7"/>
  <c r="G51" i="7" s="1"/>
  <c r="E52" i="7"/>
  <c r="G52" i="7" s="1"/>
  <c r="E53" i="7"/>
  <c r="G53" i="7" s="1"/>
  <c r="E54" i="7"/>
  <c r="G54" i="7" s="1"/>
  <c r="E55" i="7"/>
  <c r="G55" i="7" s="1"/>
  <c r="E56" i="7"/>
  <c r="G56" i="7" s="1"/>
  <c r="E43" i="7"/>
  <c r="G43" i="7" s="1"/>
  <c r="E42" i="7"/>
  <c r="G42" i="7" s="1"/>
  <c r="E41" i="7"/>
  <c r="G41" i="7" s="1"/>
  <c r="E40" i="7"/>
  <c r="G40" i="7" s="1"/>
  <c r="E39" i="7"/>
  <c r="G39" i="7" s="1"/>
  <c r="E38" i="7"/>
  <c r="G38" i="7" s="1"/>
  <c r="E37" i="7"/>
  <c r="G37" i="7" s="1"/>
  <c r="E36" i="7"/>
  <c r="G36" i="7" s="1"/>
  <c r="E35" i="7"/>
  <c r="G35" i="7" s="1"/>
  <c r="E34" i="7"/>
  <c r="G34" i="7" s="1"/>
  <c r="E33" i="7"/>
  <c r="G33" i="7" s="1"/>
  <c r="E32" i="7"/>
  <c r="G32" i="7" s="1"/>
  <c r="E31" i="7"/>
  <c r="G31" i="7" s="1"/>
  <c r="E30" i="7"/>
  <c r="G30" i="7" s="1"/>
  <c r="E29" i="7"/>
  <c r="G29" i="7" s="1"/>
  <c r="E28" i="7"/>
  <c r="G28" i="7" s="1"/>
  <c r="E27" i="7"/>
  <c r="G27" i="7" s="1"/>
  <c r="E26" i="7"/>
  <c r="G26" i="7" s="1"/>
  <c r="G25" i="7"/>
  <c r="C22" i="7"/>
  <c r="E4" i="7"/>
  <c r="G4" i="7" s="1"/>
  <c r="E5" i="7"/>
  <c r="G5" i="7" s="1"/>
  <c r="E6" i="7"/>
  <c r="G6" i="7" s="1"/>
  <c r="E7" i="7"/>
  <c r="G7" i="7" s="1"/>
  <c r="E8" i="7"/>
  <c r="G8" i="7" s="1"/>
  <c r="E9" i="7"/>
  <c r="G9" i="7" s="1"/>
  <c r="E10" i="7"/>
  <c r="G10" i="7" s="1"/>
  <c r="E11" i="7"/>
  <c r="G11" i="7" s="1"/>
  <c r="E12" i="7"/>
  <c r="G12" i="7" s="1"/>
  <c r="E13" i="7"/>
  <c r="G13" i="7" s="1"/>
  <c r="E14" i="7"/>
  <c r="G14" i="7" s="1"/>
  <c r="E15" i="7"/>
  <c r="G15" i="7" s="1"/>
  <c r="E16" i="7"/>
  <c r="G16" i="7" s="1"/>
  <c r="E17" i="7"/>
  <c r="G17" i="7" s="1"/>
  <c r="E18" i="7"/>
  <c r="G18" i="7" s="1"/>
  <c r="E19" i="7"/>
  <c r="G19" i="7" s="1"/>
  <c r="E20" i="7"/>
  <c r="G20" i="7" s="1"/>
  <c r="E21" i="7"/>
  <c r="G21" i="7" s="1"/>
  <c r="E22" i="7"/>
  <c r="G22" i="7" s="1"/>
  <c r="E3" i="7"/>
  <c r="G3" i="7" s="1"/>
  <c r="G2" i="7"/>
  <c r="G10" i="1"/>
  <c r="G11" i="1"/>
  <c r="G12" i="1"/>
  <c r="G13" i="1"/>
  <c r="G14" i="1"/>
  <c r="G15" i="1"/>
  <c r="G2" i="1"/>
  <c r="G3" i="1"/>
  <c r="G4" i="1"/>
  <c r="G5" i="1"/>
  <c r="G6" i="1"/>
  <c r="G7" i="1"/>
  <c r="C35" i="2"/>
  <c r="C22" i="2"/>
  <c r="E26" i="2"/>
  <c r="G26" i="2" s="1"/>
  <c r="E27" i="2"/>
  <c r="G27" i="2" s="1"/>
  <c r="G25" i="2"/>
  <c r="E4" i="2"/>
  <c r="G4" i="2" s="1"/>
  <c r="E5" i="2"/>
  <c r="G5" i="2" s="1"/>
  <c r="E6" i="2"/>
  <c r="G6" i="2" s="1"/>
  <c r="E7" i="2"/>
  <c r="G7" i="2" s="1"/>
  <c r="E8" i="2"/>
  <c r="G8" i="2" s="1"/>
  <c r="E9" i="2"/>
  <c r="G9" i="2" s="1"/>
  <c r="E10" i="2"/>
  <c r="G10" i="2" s="1"/>
  <c r="E11" i="2"/>
  <c r="G11" i="2" s="1"/>
  <c r="E12" i="2"/>
  <c r="G12" i="2" s="1"/>
  <c r="E13" i="2"/>
  <c r="G13" i="2" s="1"/>
  <c r="E14" i="2"/>
  <c r="G14" i="2" s="1"/>
  <c r="E15" i="2"/>
  <c r="G15" i="2" s="1"/>
  <c r="E16" i="2"/>
  <c r="G16" i="2" s="1"/>
  <c r="E17" i="2"/>
  <c r="G17" i="2" s="1"/>
  <c r="E18" i="2"/>
  <c r="G18" i="2" s="1"/>
  <c r="E19" i="2"/>
  <c r="G19" i="2" s="1"/>
  <c r="E20" i="2"/>
  <c r="G20" i="2" s="1"/>
  <c r="E21" i="2"/>
  <c r="G21" i="2" s="1"/>
  <c r="E22" i="2"/>
  <c r="G22" i="2" s="1"/>
  <c r="E3" i="2"/>
  <c r="G2" i="2"/>
  <c r="G8" i="1"/>
  <c r="G9" i="1"/>
  <c r="E60" i="11" l="1"/>
  <c r="G60" i="11" s="1"/>
  <c r="C60" i="11"/>
  <c r="B44" i="11"/>
  <c r="G40" i="11"/>
  <c r="C40" i="11"/>
  <c r="E24" i="11"/>
  <c r="G24" i="11" s="1"/>
  <c r="C24" i="11"/>
  <c r="E14" i="11"/>
  <c r="G14" i="11" s="1"/>
  <c r="C14" i="11"/>
  <c r="C6" i="11"/>
  <c r="E7" i="11" s="1"/>
  <c r="G6" i="11"/>
  <c r="E38" i="9"/>
  <c r="G38" i="9" s="1"/>
  <c r="C38" i="9"/>
  <c r="E28" i="9"/>
  <c r="G28" i="9" s="1"/>
  <c r="C28" i="9"/>
  <c r="C9" i="9"/>
  <c r="E5" i="9"/>
  <c r="G5" i="9" s="1"/>
  <c r="E160" i="8"/>
  <c r="G160" i="8" s="1"/>
  <c r="C171" i="8"/>
  <c r="E159" i="8"/>
  <c r="G159" i="8" s="1"/>
  <c r="C91" i="8"/>
  <c r="E48" i="8"/>
  <c r="G48" i="8" s="1"/>
  <c r="C67" i="8"/>
  <c r="E116" i="8"/>
  <c r="G116" i="8" s="1"/>
  <c r="E78" i="8"/>
  <c r="G78" i="8" s="1"/>
  <c r="E47" i="8"/>
  <c r="G47" i="8" s="1"/>
  <c r="E115" i="8"/>
  <c r="G115" i="8" s="1"/>
  <c r="C128" i="8"/>
  <c r="E26" i="8"/>
  <c r="G26" i="8" s="1"/>
  <c r="E25" i="8"/>
  <c r="G25" i="8" s="1"/>
  <c r="C32" i="8"/>
  <c r="C11" i="8"/>
  <c r="E185" i="7"/>
  <c r="G185" i="7" s="1"/>
  <c r="E184" i="7"/>
  <c r="G184" i="7" s="1"/>
  <c r="C195" i="7"/>
  <c r="C196" i="7" s="1"/>
  <c r="C197" i="7" s="1"/>
  <c r="C198" i="7" s="1"/>
  <c r="C199" i="7" s="1"/>
  <c r="C200" i="7" s="1"/>
  <c r="C201" i="7" s="1"/>
  <c r="C202" i="7" s="1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E222" i="7" s="1"/>
  <c r="G222" i="7" s="1"/>
  <c r="E148" i="7"/>
  <c r="G148" i="7" s="1"/>
  <c r="E147" i="7"/>
  <c r="G147" i="7" s="1"/>
  <c r="E146" i="7"/>
  <c r="G146" i="7" s="1"/>
  <c r="E138" i="7"/>
  <c r="G138" i="7" s="1"/>
  <c r="C138" i="7"/>
  <c r="C139" i="7" s="1"/>
  <c r="C140" i="7" s="1"/>
  <c r="C141" i="7" s="1"/>
  <c r="E135" i="7"/>
  <c r="G135" i="7" s="1"/>
  <c r="E139" i="7"/>
  <c r="G139" i="7" s="1"/>
  <c r="E141" i="7"/>
  <c r="G141" i="7" s="1"/>
  <c r="E140" i="7"/>
  <c r="G140" i="7" s="1"/>
  <c r="E137" i="7"/>
  <c r="G137" i="7" s="1"/>
  <c r="E136" i="7"/>
  <c r="G136" i="7" s="1"/>
  <c r="E129" i="7"/>
  <c r="G129" i="7" s="1"/>
  <c r="E127" i="7"/>
  <c r="G127" i="7" s="1"/>
  <c r="E128" i="7"/>
  <c r="G128" i="7" s="1"/>
  <c r="E120" i="7"/>
  <c r="G120" i="7" s="1"/>
  <c r="E115" i="7"/>
  <c r="G115" i="7" s="1"/>
  <c r="E114" i="7"/>
  <c r="G114" i="7" s="1"/>
  <c r="E104" i="7"/>
  <c r="G104" i="7" s="1"/>
  <c r="E95" i="7"/>
  <c r="G95" i="7" s="1"/>
  <c r="E94" i="7"/>
  <c r="G94" i="7" s="1"/>
  <c r="E93" i="7"/>
  <c r="G93" i="7" s="1"/>
  <c r="E92" i="7"/>
  <c r="G92" i="7" s="1"/>
  <c r="E84" i="7"/>
  <c r="G84" i="7" s="1"/>
  <c r="E82" i="7"/>
  <c r="G82" i="7" s="1"/>
  <c r="E83" i="7"/>
  <c r="G83" i="7" s="1"/>
  <c r="C71" i="7"/>
  <c r="C72" i="7" s="1"/>
  <c r="C73" i="7" s="1"/>
  <c r="C74" i="7" s="1"/>
  <c r="C75" i="7" s="1"/>
  <c r="C76" i="7" s="1"/>
  <c r="E71" i="7"/>
  <c r="G71" i="7" s="1"/>
  <c r="E72" i="7"/>
  <c r="G72" i="7" s="1"/>
  <c r="E73" i="7"/>
  <c r="G73" i="7" s="1"/>
  <c r="E64" i="7"/>
  <c r="G64" i="7" s="1"/>
  <c r="E63" i="7"/>
  <c r="G63" i="7" s="1"/>
  <c r="E62" i="7"/>
  <c r="G62" i="7" s="1"/>
  <c r="G3" i="2"/>
  <c r="E231" i="7" l="1"/>
  <c r="G231" i="7" s="1"/>
  <c r="E216" i="7"/>
  <c r="G216" i="7" s="1"/>
  <c r="E25" i="11"/>
  <c r="G25" i="11" s="1"/>
  <c r="C25" i="11"/>
  <c r="C41" i="11"/>
  <c r="G41" i="11"/>
  <c r="C61" i="11"/>
  <c r="E61" i="11"/>
  <c r="G61" i="11" s="1"/>
  <c r="B45" i="11"/>
  <c r="E15" i="11"/>
  <c r="G15" i="11" s="1"/>
  <c r="C15" i="11"/>
  <c r="G7" i="11"/>
  <c r="C7" i="11"/>
  <c r="E8" i="11" s="1"/>
  <c r="E39" i="9"/>
  <c r="G39" i="9" s="1"/>
  <c r="C39" i="9"/>
  <c r="E29" i="9"/>
  <c r="G29" i="9" s="1"/>
  <c r="C29" i="9"/>
  <c r="C172" i="8"/>
  <c r="E161" i="8"/>
  <c r="G161" i="8" s="1"/>
  <c r="C68" i="8"/>
  <c r="E79" i="8"/>
  <c r="G79" i="8" s="1"/>
  <c r="E117" i="8"/>
  <c r="G117" i="8" s="1"/>
  <c r="C129" i="8"/>
  <c r="C92" i="8"/>
  <c r="E49" i="8"/>
  <c r="G49" i="8" s="1"/>
  <c r="C33" i="8"/>
  <c r="C12" i="8"/>
  <c r="E5" i="8"/>
  <c r="G5" i="8" s="1"/>
  <c r="E217" i="7"/>
  <c r="G217" i="7" s="1"/>
  <c r="E130" i="7"/>
  <c r="G130" i="7" s="1"/>
  <c r="E122" i="7"/>
  <c r="G122" i="7" s="1"/>
  <c r="E121" i="7"/>
  <c r="G121" i="7" s="1"/>
  <c r="E117" i="7"/>
  <c r="G117" i="7" s="1"/>
  <c r="E116" i="7"/>
  <c r="G116" i="7" s="1"/>
  <c r="E106" i="7"/>
  <c r="G106" i="7" s="1"/>
  <c r="E105" i="7"/>
  <c r="G105" i="7" s="1"/>
  <c r="E96" i="7"/>
  <c r="G96" i="7" s="1"/>
  <c r="E75" i="7"/>
  <c r="G75" i="7" s="1"/>
  <c r="E74" i="7"/>
  <c r="G74" i="7" s="1"/>
  <c r="E65" i="7"/>
  <c r="G65" i="7" s="1"/>
  <c r="E29" i="2"/>
  <c r="G29" i="2" s="1"/>
  <c r="E28" i="2"/>
  <c r="G28" i="2" s="1"/>
  <c r="E232" i="7" l="1"/>
  <c r="G232" i="7" s="1"/>
  <c r="C62" i="11"/>
  <c r="E62" i="11"/>
  <c r="G62" i="11" s="1"/>
  <c r="C42" i="11"/>
  <c r="G42" i="11"/>
  <c r="C26" i="11"/>
  <c r="E26" i="11"/>
  <c r="G26" i="11" s="1"/>
  <c r="B46" i="11"/>
  <c r="E16" i="11"/>
  <c r="G16" i="11" s="1"/>
  <c r="C16" i="11"/>
  <c r="G8" i="11"/>
  <c r="C8" i="11"/>
  <c r="E163" i="8"/>
  <c r="G163" i="8" s="1"/>
  <c r="E162" i="8"/>
  <c r="G162" i="8" s="1"/>
  <c r="C173" i="8"/>
  <c r="C69" i="8"/>
  <c r="C93" i="8"/>
  <c r="E118" i="8"/>
  <c r="G118" i="8" s="1"/>
  <c r="E50" i="8"/>
  <c r="G50" i="8" s="1"/>
  <c r="C130" i="8"/>
  <c r="E80" i="8"/>
  <c r="G80" i="8" s="1"/>
  <c r="E27" i="8"/>
  <c r="G27" i="8" s="1"/>
  <c r="C34" i="8"/>
  <c r="C13" i="8"/>
  <c r="E7" i="8"/>
  <c r="G7" i="8" s="1"/>
  <c r="E6" i="8"/>
  <c r="G6" i="8" s="1"/>
  <c r="E219" i="7"/>
  <c r="G219" i="7" s="1"/>
  <c r="E218" i="7"/>
  <c r="G218" i="7" s="1"/>
  <c r="E187" i="7"/>
  <c r="G187" i="7" s="1"/>
  <c r="E186" i="7"/>
  <c r="G186" i="7" s="1"/>
  <c r="E149" i="7"/>
  <c r="G149" i="7" s="1"/>
  <c r="E131" i="7"/>
  <c r="G131" i="7" s="1"/>
  <c r="E123" i="7"/>
  <c r="G123" i="7" s="1"/>
  <c r="E107" i="7"/>
  <c r="G107" i="7" s="1"/>
  <c r="E97" i="7"/>
  <c r="G97" i="7" s="1"/>
  <c r="E86" i="7"/>
  <c r="G86" i="7" s="1"/>
  <c r="E85" i="7"/>
  <c r="G85" i="7" s="1"/>
  <c r="E76" i="7"/>
  <c r="G76" i="7" s="1"/>
  <c r="E66" i="7"/>
  <c r="G66" i="7" s="1"/>
  <c r="E30" i="2"/>
  <c r="G30" i="2" s="1"/>
  <c r="E234" i="7" l="1"/>
  <c r="G234" i="7" s="1"/>
  <c r="E233" i="7"/>
  <c r="G233" i="7" s="1"/>
  <c r="C27" i="11"/>
  <c r="E27" i="11"/>
  <c r="G27" i="11" s="1"/>
  <c r="C43" i="11"/>
  <c r="G43" i="11"/>
  <c r="C63" i="11"/>
  <c r="E63" i="11"/>
  <c r="G63" i="11" s="1"/>
  <c r="B47" i="11"/>
  <c r="E17" i="11"/>
  <c r="G17" i="11" s="1"/>
  <c r="C17" i="11"/>
  <c r="C174" i="8"/>
  <c r="E164" i="8"/>
  <c r="G164" i="8" s="1"/>
  <c r="C131" i="8"/>
  <c r="E119" i="8"/>
  <c r="G119" i="8" s="1"/>
  <c r="C94" i="8"/>
  <c r="C70" i="8"/>
  <c r="E51" i="8"/>
  <c r="G51" i="8" s="1"/>
  <c r="E81" i="8"/>
  <c r="G81" i="8" s="1"/>
  <c r="E29" i="8"/>
  <c r="G29" i="8" s="1"/>
  <c r="C35" i="8"/>
  <c r="E28" i="8"/>
  <c r="G28" i="8" s="1"/>
  <c r="C14" i="8"/>
  <c r="E220" i="7"/>
  <c r="G220" i="7" s="1"/>
  <c r="E188" i="7"/>
  <c r="G188" i="7" s="1"/>
  <c r="E150" i="7"/>
  <c r="G150" i="7" s="1"/>
  <c r="E132" i="7"/>
  <c r="G132" i="7" s="1"/>
  <c r="E124" i="7"/>
  <c r="G124" i="7" s="1"/>
  <c r="E108" i="7"/>
  <c r="G108" i="7" s="1"/>
  <c r="E98" i="7"/>
  <c r="G98" i="7" s="1"/>
  <c r="E87" i="7"/>
  <c r="G87" i="7" s="1"/>
  <c r="E67" i="7"/>
  <c r="G67" i="7" s="1"/>
  <c r="E31" i="2"/>
  <c r="G31" i="2" s="1"/>
  <c r="E235" i="7" l="1"/>
  <c r="G235" i="7" s="1"/>
  <c r="C64" i="11"/>
  <c r="E64" i="11"/>
  <c r="G64" i="11" s="1"/>
  <c r="C44" i="11"/>
  <c r="G44" i="11"/>
  <c r="C28" i="11"/>
  <c r="E28" i="11"/>
  <c r="G28" i="11" s="1"/>
  <c r="B48" i="11"/>
  <c r="C18" i="11"/>
  <c r="E18" i="11"/>
  <c r="G18" i="11" s="1"/>
  <c r="C175" i="8"/>
  <c r="C95" i="8"/>
  <c r="E82" i="8"/>
  <c r="G82" i="8" s="1"/>
  <c r="C132" i="8"/>
  <c r="C71" i="8"/>
  <c r="E52" i="8"/>
  <c r="G52" i="8" s="1"/>
  <c r="E120" i="8"/>
  <c r="G120" i="8" s="1"/>
  <c r="C36" i="8"/>
  <c r="C15" i="8"/>
  <c r="E8" i="8"/>
  <c r="G8" i="8" s="1"/>
  <c r="E221" i="7"/>
  <c r="G221" i="7" s="1"/>
  <c r="E151" i="7"/>
  <c r="G151" i="7" s="1"/>
  <c r="E125" i="7"/>
  <c r="G125" i="7" s="1"/>
  <c r="E109" i="7"/>
  <c r="G109" i="7" s="1"/>
  <c r="E68" i="7"/>
  <c r="G68" i="7" s="1"/>
  <c r="E32" i="2"/>
  <c r="G32" i="2" s="1"/>
  <c r="E236" i="7" l="1"/>
  <c r="G236" i="7" s="1"/>
  <c r="C29" i="11"/>
  <c r="E29" i="11"/>
  <c r="G29" i="11" s="1"/>
  <c r="C45" i="11"/>
  <c r="G45" i="11"/>
  <c r="C65" i="11"/>
  <c r="E65" i="11"/>
  <c r="G65" i="11" s="1"/>
  <c r="B49" i="11"/>
  <c r="C176" i="8"/>
  <c r="E165" i="8"/>
  <c r="G165" i="8" s="1"/>
  <c r="C133" i="8"/>
  <c r="C72" i="8"/>
  <c r="E84" i="8"/>
  <c r="G84" i="8" s="1"/>
  <c r="E53" i="8"/>
  <c r="G53" i="8" s="1"/>
  <c r="E122" i="8"/>
  <c r="G122" i="8" s="1"/>
  <c r="E83" i="8"/>
  <c r="G83" i="8" s="1"/>
  <c r="E121" i="8"/>
  <c r="G121" i="8" s="1"/>
  <c r="C96" i="8"/>
  <c r="E31" i="8"/>
  <c r="G31" i="8" s="1"/>
  <c r="E30" i="8"/>
  <c r="G30" i="8" s="1"/>
  <c r="C37" i="8"/>
  <c r="C16" i="8"/>
  <c r="E10" i="8"/>
  <c r="G10" i="8" s="1"/>
  <c r="E9" i="8"/>
  <c r="G9" i="8" s="1"/>
  <c r="E189" i="7"/>
  <c r="G189" i="7" s="1"/>
  <c r="E152" i="7"/>
  <c r="G152" i="7" s="1"/>
  <c r="E134" i="7"/>
  <c r="G134" i="7" s="1"/>
  <c r="E133" i="7"/>
  <c r="G133" i="7" s="1"/>
  <c r="E126" i="7"/>
  <c r="G126" i="7" s="1"/>
  <c r="E99" i="7"/>
  <c r="G99" i="7" s="1"/>
  <c r="E69" i="7"/>
  <c r="G69" i="7" s="1"/>
  <c r="E33" i="2"/>
  <c r="G33" i="2" s="1"/>
  <c r="E237" i="7" l="1"/>
  <c r="G237" i="7" s="1"/>
  <c r="C66" i="11"/>
  <c r="E66" i="11"/>
  <c r="G66" i="11" s="1"/>
  <c r="C46" i="11"/>
  <c r="G46" i="11"/>
  <c r="C30" i="11"/>
  <c r="E30" i="11"/>
  <c r="G30" i="11" s="1"/>
  <c r="B50" i="11"/>
  <c r="E166" i="8"/>
  <c r="G166" i="8" s="1"/>
  <c r="C177" i="8"/>
  <c r="C97" i="8"/>
  <c r="C73" i="8"/>
  <c r="C134" i="8"/>
  <c r="E123" i="8"/>
  <c r="G123" i="8" s="1"/>
  <c r="C38" i="8"/>
  <c r="E32" i="8"/>
  <c r="G32" i="8" s="1"/>
  <c r="E11" i="8"/>
  <c r="G11" i="8" s="1"/>
  <c r="C17" i="8"/>
  <c r="E190" i="7"/>
  <c r="G190" i="7" s="1"/>
  <c r="E153" i="7"/>
  <c r="G153" i="7" s="1"/>
  <c r="E101" i="7"/>
  <c r="G101" i="7" s="1"/>
  <c r="E100" i="7"/>
  <c r="G100" i="7" s="1"/>
  <c r="E70" i="7"/>
  <c r="G70" i="7" s="1"/>
  <c r="E34" i="2"/>
  <c r="G34" i="2" s="1"/>
  <c r="E238" i="7" l="1"/>
  <c r="G238" i="7" s="1"/>
  <c r="C31" i="11"/>
  <c r="E31" i="11"/>
  <c r="G31" i="11" s="1"/>
  <c r="C47" i="11"/>
  <c r="G47" i="11"/>
  <c r="C67" i="11"/>
  <c r="E67" i="11"/>
  <c r="G67" i="11" s="1"/>
  <c r="B51" i="11"/>
  <c r="C178" i="8"/>
  <c r="E168" i="8"/>
  <c r="G168" i="8" s="1"/>
  <c r="E167" i="8"/>
  <c r="G167" i="8" s="1"/>
  <c r="E55" i="8"/>
  <c r="G55" i="8" s="1"/>
  <c r="E86" i="8"/>
  <c r="G86" i="8" s="1"/>
  <c r="E85" i="8"/>
  <c r="G85" i="8" s="1"/>
  <c r="E54" i="8"/>
  <c r="G54" i="8" s="1"/>
  <c r="C135" i="8"/>
  <c r="C98" i="8"/>
  <c r="C39" i="8"/>
  <c r="E33" i="8"/>
  <c r="G33" i="8" s="1"/>
  <c r="C18" i="8"/>
  <c r="E12" i="8"/>
  <c r="G12" i="8" s="1"/>
  <c r="E191" i="7"/>
  <c r="G191" i="7" s="1"/>
  <c r="E155" i="7"/>
  <c r="G155" i="7" s="1"/>
  <c r="G154" i="7"/>
  <c r="E102" i="7"/>
  <c r="G102" i="7" s="1"/>
  <c r="E35" i="2"/>
  <c r="G35" i="2" s="1"/>
  <c r="E239" i="7" l="1"/>
  <c r="G239" i="7" s="1"/>
  <c r="C48" i="11"/>
  <c r="G48" i="11"/>
  <c r="C68" i="11"/>
  <c r="E68" i="11"/>
  <c r="G68" i="11" s="1"/>
  <c r="C32" i="11"/>
  <c r="E32" i="11"/>
  <c r="G32" i="11" s="1"/>
  <c r="B52" i="11"/>
  <c r="C179" i="8"/>
  <c r="E124" i="8"/>
  <c r="G124" i="8" s="1"/>
  <c r="C99" i="8"/>
  <c r="E87" i="8"/>
  <c r="G87" i="8" s="1"/>
  <c r="C136" i="8"/>
  <c r="E34" i="8"/>
  <c r="G34" i="8" s="1"/>
  <c r="C40" i="8"/>
  <c r="E13" i="8"/>
  <c r="G13" i="8" s="1"/>
  <c r="C19" i="8"/>
  <c r="E192" i="7"/>
  <c r="G192" i="7" s="1"/>
  <c r="E174" i="7"/>
  <c r="G174" i="7" s="1"/>
  <c r="E156" i="7"/>
  <c r="G156" i="7" s="1"/>
  <c r="E103" i="7"/>
  <c r="G103" i="7" s="1"/>
  <c r="C69" i="11" l="1"/>
  <c r="E69" i="11"/>
  <c r="G69" i="11" s="1"/>
  <c r="C33" i="11"/>
  <c r="E33" i="11"/>
  <c r="G33" i="11" s="1"/>
  <c r="C49" i="11"/>
  <c r="G49" i="11"/>
  <c r="B53" i="11"/>
  <c r="C180" i="8"/>
  <c r="E169" i="8"/>
  <c r="G169" i="8" s="1"/>
  <c r="C100" i="8"/>
  <c r="E88" i="8"/>
  <c r="G88" i="8" s="1"/>
  <c r="E56" i="8"/>
  <c r="G56" i="8" s="1"/>
  <c r="C137" i="8"/>
  <c r="E125" i="8"/>
  <c r="G125" i="8" s="1"/>
  <c r="C41" i="8"/>
  <c r="E35" i="8"/>
  <c r="G35" i="8" s="1"/>
  <c r="E14" i="8"/>
  <c r="G14" i="8" s="1"/>
  <c r="E193" i="7"/>
  <c r="G193" i="7" s="1"/>
  <c r="E175" i="7"/>
  <c r="G175" i="7" s="1"/>
  <c r="E240" i="7" l="1"/>
  <c r="G240" i="7" s="1"/>
  <c r="C50" i="11"/>
  <c r="G50" i="11"/>
  <c r="C70" i="11"/>
  <c r="E70" i="11"/>
  <c r="G70" i="11" s="1"/>
  <c r="E171" i="8"/>
  <c r="G171" i="8" s="1"/>
  <c r="E170" i="8"/>
  <c r="G170" i="8" s="1"/>
  <c r="C181" i="8"/>
  <c r="E127" i="8"/>
  <c r="G127" i="8" s="1"/>
  <c r="E126" i="8"/>
  <c r="G126" i="8" s="1"/>
  <c r="C138" i="8"/>
  <c r="C101" i="8"/>
  <c r="E58" i="8"/>
  <c r="G58" i="8" s="1"/>
  <c r="E89" i="8"/>
  <c r="G89" i="8" s="1"/>
  <c r="E57" i="8"/>
  <c r="G57" i="8" s="1"/>
  <c r="E36" i="8"/>
  <c r="G36" i="8" s="1"/>
  <c r="E15" i="8"/>
  <c r="G15" i="8" s="1"/>
  <c r="E195" i="7"/>
  <c r="G195" i="7" s="1"/>
  <c r="E194" i="7"/>
  <c r="G194" i="7" s="1"/>
  <c r="E176" i="7"/>
  <c r="G176" i="7" s="1"/>
  <c r="E157" i="7"/>
  <c r="G157" i="7" s="1"/>
  <c r="E241" i="7" l="1"/>
  <c r="G241" i="7" s="1"/>
  <c r="C71" i="11"/>
  <c r="E71" i="11"/>
  <c r="G71" i="11" s="1"/>
  <c r="C51" i="11"/>
  <c r="G51" i="11"/>
  <c r="C182" i="8"/>
  <c r="C102" i="8"/>
  <c r="C139" i="8"/>
  <c r="E128" i="8"/>
  <c r="G128" i="8" s="1"/>
  <c r="E16" i="8"/>
  <c r="G16" i="8" s="1"/>
  <c r="E196" i="7"/>
  <c r="G196" i="7" s="1"/>
  <c r="E177" i="7"/>
  <c r="G177" i="7" s="1"/>
  <c r="E158" i="7"/>
  <c r="G158" i="7" s="1"/>
  <c r="E242" i="7" l="1"/>
  <c r="G242" i="7" s="1"/>
  <c r="C52" i="11"/>
  <c r="G52" i="11"/>
  <c r="C72" i="11"/>
  <c r="E72" i="11"/>
  <c r="G72" i="11" s="1"/>
  <c r="E173" i="8"/>
  <c r="G173" i="8" s="1"/>
  <c r="E172" i="8"/>
  <c r="G172" i="8" s="1"/>
  <c r="C183" i="8"/>
  <c r="E91" i="8"/>
  <c r="G91" i="8" s="1"/>
  <c r="E60" i="8"/>
  <c r="G60" i="8" s="1"/>
  <c r="E90" i="8"/>
  <c r="G90" i="8" s="1"/>
  <c r="C140" i="8"/>
  <c r="E59" i="8"/>
  <c r="G59" i="8" s="1"/>
  <c r="E129" i="8"/>
  <c r="G129" i="8" s="1"/>
  <c r="C103" i="8"/>
  <c r="E37" i="8"/>
  <c r="G37" i="8" s="1"/>
  <c r="E17" i="8"/>
  <c r="G17" i="8" s="1"/>
  <c r="E197" i="7"/>
  <c r="G197" i="7" s="1"/>
  <c r="E178" i="7"/>
  <c r="G178" i="7" s="1"/>
  <c r="E159" i="7"/>
  <c r="G159" i="7" s="1"/>
  <c r="E243" i="7" l="1"/>
  <c r="G243" i="7" s="1"/>
  <c r="C53" i="11"/>
  <c r="G53" i="11"/>
  <c r="C184" i="8"/>
  <c r="E174" i="8"/>
  <c r="G174" i="8" s="1"/>
  <c r="C141" i="8"/>
  <c r="C104" i="8"/>
  <c r="E92" i="8"/>
  <c r="G92" i="8" s="1"/>
  <c r="E38" i="8"/>
  <c r="G38" i="8" s="1"/>
  <c r="E18" i="8"/>
  <c r="G18" i="8" s="1"/>
  <c r="E198" i="7"/>
  <c r="G198" i="7" s="1"/>
  <c r="E160" i="7"/>
  <c r="G160" i="7" s="1"/>
  <c r="E245" i="7" l="1"/>
  <c r="G245" i="7" s="1"/>
  <c r="E244" i="7"/>
  <c r="G244" i="7" s="1"/>
  <c r="E175" i="8"/>
  <c r="G175" i="8" s="1"/>
  <c r="C185" i="8"/>
  <c r="E131" i="8"/>
  <c r="G131" i="8" s="1"/>
  <c r="E130" i="8"/>
  <c r="G130" i="8" s="1"/>
  <c r="C105" i="8"/>
  <c r="E61" i="8"/>
  <c r="G61" i="8" s="1"/>
  <c r="C142" i="8"/>
  <c r="E39" i="8"/>
  <c r="G39" i="8" s="1"/>
  <c r="E19" i="8"/>
  <c r="G19" i="8" s="1"/>
  <c r="E199" i="7"/>
  <c r="G199" i="7" s="1"/>
  <c r="E161" i="7"/>
  <c r="G161" i="7" s="1"/>
  <c r="C186" i="8" l="1"/>
  <c r="E94" i="8"/>
  <c r="G94" i="8" s="1"/>
  <c r="E63" i="8"/>
  <c r="G63" i="8" s="1"/>
  <c r="E62" i="8"/>
  <c r="G62" i="8" s="1"/>
  <c r="C106" i="8"/>
  <c r="E93" i="8"/>
  <c r="G93" i="8" s="1"/>
  <c r="C143" i="8"/>
  <c r="E41" i="8"/>
  <c r="G41" i="8" s="1"/>
  <c r="E40" i="8"/>
  <c r="G40" i="8" s="1"/>
  <c r="E163" i="7"/>
  <c r="G163" i="7" s="1"/>
  <c r="E162" i="7"/>
  <c r="G162" i="7" s="1"/>
  <c r="E246" i="7" l="1"/>
  <c r="G246" i="7" s="1"/>
  <c r="E177" i="8"/>
  <c r="G177" i="8" s="1"/>
  <c r="E176" i="8"/>
  <c r="G176" i="8" s="1"/>
  <c r="C187" i="8"/>
  <c r="C107" i="8"/>
  <c r="E132" i="8"/>
  <c r="G132" i="8" s="1"/>
  <c r="C144" i="8"/>
  <c r="E95" i="8"/>
  <c r="G95" i="8" s="1"/>
  <c r="E201" i="7"/>
  <c r="G201" i="7" s="1"/>
  <c r="E200" i="7"/>
  <c r="G200" i="7" s="1"/>
  <c r="E248" i="7" l="1"/>
  <c r="G248" i="7" s="1"/>
  <c r="E247" i="7"/>
  <c r="G247" i="7" s="1"/>
  <c r="C188" i="8"/>
  <c r="E64" i="8"/>
  <c r="G64" i="8" s="1"/>
  <c r="E134" i="8"/>
  <c r="G134" i="8" s="1"/>
  <c r="E133" i="8"/>
  <c r="G133" i="8" s="1"/>
  <c r="C108" i="8"/>
  <c r="C145" i="8"/>
  <c r="E202" i="7"/>
  <c r="G202" i="7" s="1"/>
  <c r="E165" i="7"/>
  <c r="G165" i="7" s="1"/>
  <c r="E164" i="7"/>
  <c r="G164" i="7" s="1"/>
  <c r="E249" i="7" l="1"/>
  <c r="G249" i="7" s="1"/>
  <c r="E179" i="8"/>
  <c r="G179" i="8" s="1"/>
  <c r="E178" i="8"/>
  <c r="G178" i="8" s="1"/>
  <c r="C189" i="8"/>
  <c r="E97" i="8"/>
  <c r="G97" i="8" s="1"/>
  <c r="E96" i="8"/>
  <c r="G96" i="8" s="1"/>
  <c r="C146" i="8"/>
  <c r="C109" i="8"/>
  <c r="E65" i="8"/>
  <c r="G65" i="8" s="1"/>
  <c r="E203" i="7"/>
  <c r="G203" i="7" s="1"/>
  <c r="E166" i="7"/>
  <c r="G166" i="7" s="1"/>
  <c r="C190" i="8" l="1"/>
  <c r="E180" i="8"/>
  <c r="G180" i="8" s="1"/>
  <c r="E67" i="8"/>
  <c r="G67" i="8" s="1"/>
  <c r="E136" i="8"/>
  <c r="G136" i="8" s="1"/>
  <c r="E66" i="8"/>
  <c r="G66" i="8" s="1"/>
  <c r="E135" i="8"/>
  <c r="G135" i="8" s="1"/>
  <c r="C147" i="8"/>
  <c r="E98" i="8"/>
  <c r="G98" i="8" s="1"/>
  <c r="E204" i="7"/>
  <c r="G204" i="7" s="1"/>
  <c r="E167" i="7"/>
  <c r="G167" i="7" s="1"/>
  <c r="E250" i="7" l="1"/>
  <c r="G250" i="7" s="1"/>
  <c r="E181" i="8"/>
  <c r="G181" i="8" s="1"/>
  <c r="C191" i="8"/>
  <c r="C148" i="8"/>
  <c r="E137" i="8"/>
  <c r="G137" i="8" s="1"/>
  <c r="E99" i="8"/>
  <c r="G99" i="8" s="1"/>
  <c r="E68" i="8"/>
  <c r="G68" i="8" s="1"/>
  <c r="E168" i="7"/>
  <c r="G168" i="7" s="1"/>
  <c r="E251" i="7" l="1"/>
  <c r="G251" i="7" s="1"/>
  <c r="C192" i="8"/>
  <c r="E182" i="8"/>
  <c r="G182" i="8" s="1"/>
  <c r="E69" i="8"/>
  <c r="G69" i="8" s="1"/>
  <c r="E100" i="8"/>
  <c r="G100" i="8" s="1"/>
  <c r="E138" i="8"/>
  <c r="G138" i="8" s="1"/>
  <c r="C149" i="8"/>
  <c r="E206" i="7"/>
  <c r="G206" i="7" s="1"/>
  <c r="E205" i="7"/>
  <c r="G205" i="7" s="1"/>
  <c r="E169" i="7"/>
  <c r="G169" i="7" s="1"/>
  <c r="E253" i="7" l="1"/>
  <c r="G253" i="7" s="1"/>
  <c r="E252" i="7"/>
  <c r="G252" i="7" s="1"/>
  <c r="E183" i="8"/>
  <c r="G183" i="8" s="1"/>
  <c r="C193" i="8"/>
  <c r="C150" i="8"/>
  <c r="E139" i="8"/>
  <c r="G139" i="8" s="1"/>
  <c r="E101" i="8"/>
  <c r="G101" i="8" s="1"/>
  <c r="E70" i="8"/>
  <c r="G70" i="8" s="1"/>
  <c r="E170" i="7"/>
  <c r="G170" i="7" s="1"/>
  <c r="E254" i="7" l="1"/>
  <c r="G254" i="7" s="1"/>
  <c r="C194" i="8"/>
  <c r="E184" i="8"/>
  <c r="G184" i="8" s="1"/>
  <c r="E71" i="8"/>
  <c r="G71" i="8" s="1"/>
  <c r="E102" i="8"/>
  <c r="G102" i="8" s="1"/>
  <c r="C151" i="8"/>
  <c r="E208" i="7"/>
  <c r="G208" i="7" s="1"/>
  <c r="E207" i="7"/>
  <c r="G207" i="7" s="1"/>
  <c r="E171" i="7"/>
  <c r="G171" i="7" s="1"/>
  <c r="E185" i="8" l="1"/>
  <c r="G185" i="8" s="1"/>
  <c r="C195" i="8"/>
  <c r="C152" i="8"/>
  <c r="E141" i="8"/>
  <c r="G141" i="8" s="1"/>
  <c r="E140" i="8"/>
  <c r="G140" i="8" s="1"/>
  <c r="E103" i="8"/>
  <c r="G103" i="8" s="1"/>
  <c r="E172" i="7"/>
  <c r="G172" i="7" s="1"/>
  <c r="E256" i="7" l="1"/>
  <c r="G256" i="7" s="1"/>
  <c r="E255" i="7"/>
  <c r="G255" i="7" s="1"/>
  <c r="C196" i="8"/>
  <c r="E186" i="8"/>
  <c r="G186" i="8" s="1"/>
  <c r="E73" i="8"/>
  <c r="G73" i="8" s="1"/>
  <c r="E104" i="8"/>
  <c r="G104" i="8" s="1"/>
  <c r="C153" i="8"/>
  <c r="E72" i="8"/>
  <c r="G72" i="8" s="1"/>
  <c r="E210" i="7"/>
  <c r="G210" i="7" s="1"/>
  <c r="E209" i="7"/>
  <c r="G209" i="7" s="1"/>
  <c r="E173" i="7"/>
  <c r="G173" i="7" s="1"/>
  <c r="E187" i="8" l="1"/>
  <c r="G187" i="8" s="1"/>
  <c r="C197" i="8"/>
  <c r="C198" i="8" s="1"/>
  <c r="E143" i="8"/>
  <c r="G143" i="8" s="1"/>
  <c r="E142" i="8"/>
  <c r="G142" i="8" s="1"/>
  <c r="E105" i="8"/>
  <c r="G105" i="8" s="1"/>
  <c r="C199" i="8" l="1"/>
  <c r="E199" i="8"/>
  <c r="G199" i="8" s="1"/>
  <c r="E188" i="8"/>
  <c r="G188" i="8" s="1"/>
  <c r="E144" i="8"/>
  <c r="G144" i="8" s="1"/>
  <c r="E212" i="7"/>
  <c r="G212" i="7" s="1"/>
  <c r="E211" i="7"/>
  <c r="G211" i="7" s="1"/>
  <c r="C200" i="8" l="1"/>
  <c r="E200" i="8"/>
  <c r="G200" i="8" s="1"/>
  <c r="E107" i="8"/>
  <c r="G107" i="8" s="1"/>
  <c r="E106" i="8"/>
  <c r="G106" i="8" s="1"/>
  <c r="E213" i="7"/>
  <c r="G213" i="7" s="1"/>
  <c r="C201" i="8" l="1"/>
  <c r="E201" i="8"/>
  <c r="G201" i="8" s="1"/>
  <c r="E189" i="8"/>
  <c r="G189" i="8" s="1"/>
  <c r="E146" i="8"/>
  <c r="G146" i="8" s="1"/>
  <c r="E145" i="8"/>
  <c r="G145" i="8" s="1"/>
  <c r="E108" i="8"/>
  <c r="G108" i="8" s="1"/>
  <c r="E214" i="7"/>
  <c r="G214" i="7" s="1"/>
  <c r="C202" i="8" l="1"/>
  <c r="E202" i="8"/>
  <c r="G202" i="8" s="1"/>
  <c r="E190" i="8"/>
  <c r="G190" i="8" s="1"/>
  <c r="E109" i="8"/>
  <c r="G109" i="8" s="1"/>
  <c r="E147" i="8"/>
  <c r="G147" i="8" s="1"/>
  <c r="E215" i="7"/>
  <c r="G215" i="7" s="1"/>
  <c r="C203" i="8" l="1"/>
  <c r="E203" i="8"/>
  <c r="G203" i="8" s="1"/>
  <c r="E191" i="8"/>
  <c r="G191" i="8" s="1"/>
  <c r="E148" i="8"/>
  <c r="G148" i="8" s="1"/>
  <c r="E110" i="8"/>
  <c r="G110" i="8" s="1"/>
  <c r="C204" i="8" l="1"/>
  <c r="E204" i="8"/>
  <c r="G204" i="8" s="1"/>
  <c r="E192" i="8"/>
  <c r="G192" i="8" s="1"/>
  <c r="C205" i="8" l="1"/>
  <c r="E205" i="8"/>
  <c r="G205" i="8" s="1"/>
  <c r="E193" i="8"/>
  <c r="G193" i="8" s="1"/>
  <c r="E150" i="8"/>
  <c r="G150" i="8" s="1"/>
  <c r="E149" i="8"/>
  <c r="G149" i="8" s="1"/>
  <c r="C206" i="8" l="1"/>
  <c r="E206" i="8"/>
  <c r="G206" i="8" s="1"/>
  <c r="E194" i="8"/>
  <c r="G194" i="8" s="1"/>
  <c r="E151" i="8"/>
  <c r="G151" i="8" s="1"/>
  <c r="C207" i="8" l="1"/>
  <c r="E207" i="8"/>
  <c r="G207" i="8" s="1"/>
  <c r="E195" i="8"/>
  <c r="G195" i="8" s="1"/>
  <c r="E152" i="8"/>
  <c r="G152" i="8" s="1"/>
  <c r="E208" i="8" l="1"/>
  <c r="G208" i="8" s="1"/>
  <c r="E196" i="8"/>
  <c r="G196" i="8" s="1"/>
  <c r="E198" i="8" l="1"/>
  <c r="G198" i="8" s="1"/>
  <c r="E197" i="8"/>
  <c r="G197" i="8" s="1"/>
  <c r="E154" i="8"/>
  <c r="G154" i="8" s="1"/>
  <c r="E153" i="8"/>
  <c r="G153" i="8" s="1"/>
</calcChain>
</file>

<file path=xl/sharedStrings.xml><?xml version="1.0" encoding="utf-8"?>
<sst xmlns="http://schemas.openxmlformats.org/spreadsheetml/2006/main" count="2873" uniqueCount="449">
  <si>
    <t>Ticker</t>
  </si>
  <si>
    <t>Tipo</t>
  </si>
  <si>
    <t>Fecha Emision</t>
  </si>
  <si>
    <t>Fecha Vencimiento</t>
  </si>
  <si>
    <t>TEM (%)</t>
  </si>
  <si>
    <t>Meses (base 30/360)</t>
  </si>
  <si>
    <t>VPV (c/100 VN)</t>
  </si>
  <si>
    <t>S31G6</t>
  </si>
  <si>
    <t>LECAP</t>
  </si>
  <si>
    <t>S30S6</t>
  </si>
  <si>
    <t>Fecha</t>
  </si>
  <si>
    <t>Valor Residual</t>
  </si>
  <si>
    <t>Renta</t>
  </si>
  <si>
    <t>Amortización</t>
  </si>
  <si>
    <t>Cupón</t>
  </si>
  <si>
    <t>Total</t>
  </si>
  <si>
    <t>TO26</t>
  </si>
  <si>
    <t>TY30P</t>
  </si>
  <si>
    <t>Fecha Emisión</t>
  </si>
  <si>
    <t>Fecha Vencimineto</t>
  </si>
  <si>
    <t>CER aplicable</t>
  </si>
  <si>
    <t>Margen</t>
  </si>
  <si>
    <t>TZX26</t>
  </si>
  <si>
    <t>TZX27</t>
  </si>
  <si>
    <t>CER</t>
  </si>
  <si>
    <t>TMF27</t>
  </si>
  <si>
    <t>TMG27</t>
  </si>
  <si>
    <t>TAMAR</t>
  </si>
  <si>
    <t>TAMAR aplicable</t>
  </si>
  <si>
    <t>S29Y6</t>
  </si>
  <si>
    <t>S12J6</t>
  </si>
  <si>
    <t>T30J6</t>
  </si>
  <si>
    <t>S17L6</t>
  </si>
  <si>
    <t>S31L6</t>
  </si>
  <si>
    <t>S14G6</t>
  </si>
  <si>
    <t>S30O6</t>
  </si>
  <si>
    <t>S30N6</t>
  </si>
  <si>
    <t>T15E7</t>
  </si>
  <si>
    <t>T30A7</t>
  </si>
  <si>
    <t>T31Y7</t>
  </si>
  <si>
    <t>T30J7</t>
  </si>
  <si>
    <t>TZXO6</t>
  </si>
  <si>
    <t>TZXD6</t>
  </si>
  <si>
    <t>TZXM7</t>
  </si>
  <si>
    <t>TZXA7</t>
  </si>
  <si>
    <t>TZXS7</t>
  </si>
  <si>
    <t>TZXD7</t>
  </si>
  <si>
    <t>TZXM8</t>
  </si>
  <si>
    <t>TZX28</t>
  </si>
  <si>
    <t>TZXS8</t>
  </si>
  <si>
    <t>TZXM9</t>
  </si>
  <si>
    <t>M31G6</t>
  </si>
  <si>
    <t>TMF28</t>
  </si>
  <si>
    <t>TMG28</t>
  </si>
  <si>
    <t>USD aplicable</t>
  </si>
  <si>
    <t>TZV26</t>
  </si>
  <si>
    <t>Linked</t>
  </si>
  <si>
    <t>D30S6</t>
  </si>
  <si>
    <t>TZV27</t>
  </si>
  <si>
    <t>TZV28</t>
  </si>
  <si>
    <t>AO27</t>
  </si>
  <si>
    <t>AO28</t>
  </si>
  <si>
    <t>AL29</t>
  </si>
  <si>
    <t>AL30</t>
  </si>
  <si>
    <t>AL35</t>
  </si>
  <si>
    <t>AN29</t>
  </si>
  <si>
    <t>AL41</t>
  </si>
  <si>
    <t>AE38</t>
  </si>
  <si>
    <t>GD29</t>
  </si>
  <si>
    <t>GD30</t>
  </si>
  <si>
    <t>GD35</t>
  </si>
  <si>
    <t>GD38</t>
  </si>
  <si>
    <t>GD41</t>
  </si>
  <si>
    <t>GD46</t>
  </si>
  <si>
    <t>TXMJ9</t>
  </si>
  <si>
    <t>TXMJ8</t>
  </si>
  <si>
    <t>TTJ26</t>
  </si>
  <si>
    <t>TTS26</t>
  </si>
  <si>
    <t>BPC7D</t>
  </si>
  <si>
    <t>BPD7D</t>
  </si>
  <si>
    <t>BPA8D</t>
  </si>
  <si>
    <t>BPB8D</t>
  </si>
  <si>
    <t>S15S6</t>
  </si>
  <si>
    <t>D31L6</t>
  </si>
  <si>
    <t>D31M7</t>
  </si>
  <si>
    <t>NBS1D</t>
  </si>
  <si>
    <t>RUCED</t>
  </si>
  <si>
    <t>PQCSD</t>
  </si>
  <si>
    <t>TLCPD</t>
  </si>
  <si>
    <t>GN49D</t>
  </si>
  <si>
    <t>D31G6</t>
  </si>
  <si>
    <t>TZVD8</t>
  </si>
  <si>
    <t>TXMD8</t>
  </si>
  <si>
    <t>TXMD9</t>
  </si>
  <si>
    <t>TXMJ0</t>
  </si>
  <si>
    <t>S13N6</t>
  </si>
  <si>
    <t>TZXO7</t>
  </si>
  <si>
    <t>TZXD8</t>
  </si>
  <si>
    <t>TML27</t>
  </si>
  <si>
    <t>AO29</t>
  </si>
  <si>
    <t>D10Y7</t>
  </si>
  <si>
    <t>TZXY7</t>
  </si>
  <si>
    <t>X30N6</t>
  </si>
  <si>
    <t>X31L6</t>
  </si>
  <si>
    <t>X30S6</t>
  </si>
  <si>
    <t>BPA7D</t>
  </si>
  <si>
    <t>BPB7D</t>
  </si>
  <si>
    <t>Ticker</t>
  </si>
  <si>
    <t>Nombre</t>
  </si>
  <si>
    <t>Fecha Vencimiento</t>
  </si>
  <si>
    <t>BA37D</t>
  </si>
  <si>
    <t>Buenos Aires 2037A</t>
  </si>
  <si>
    <t>BB37D</t>
  </si>
  <si>
    <t>Buenos Aires 2037B</t>
  </si>
  <si>
    <t>BC37D</t>
  </si>
  <si>
    <t>Buenos Aires 2037C</t>
  </si>
  <si>
    <t>BDC36</t>
  </si>
  <si>
    <t>CABA 2036</t>
  </si>
  <si>
    <t>PUA36</t>
  </si>
  <si>
    <t>Chubut 2036</t>
  </si>
  <si>
    <t>CO32</t>
  </si>
  <si>
    <t>Cordoba 2032</t>
  </si>
  <si>
    <t>CO35</t>
  </si>
  <si>
    <t>Cordoba 2035</t>
  </si>
  <si>
    <t>ERF25</t>
  </si>
  <si>
    <t>Entre Rios 2028</t>
  </si>
  <si>
    <t>ERM33</t>
  </si>
  <si>
    <t>Entre Rios 2033</t>
  </si>
  <si>
    <t>PMM29</t>
  </si>
  <si>
    <t>Mendoza 2029</t>
  </si>
  <si>
    <t>NDT25</t>
  </si>
  <si>
    <t>Neuquen 04-2030</t>
  </si>
  <si>
    <t>SA24D</t>
  </si>
  <si>
    <t>Salta 2027</t>
  </si>
  <si>
    <t>CO26</t>
  </si>
  <si>
    <t>Cordoba 2026</t>
  </si>
  <si>
    <t>JUS22</t>
  </si>
  <si>
    <t>Jujuy 2027</t>
  </si>
  <si>
    <t>Bueair27</t>
  </si>
  <si>
    <t>CABA 2027</t>
  </si>
  <si>
    <t>CO24</t>
  </si>
  <si>
    <t>Cordoba 2027</t>
  </si>
  <si>
    <t>Muni27</t>
  </si>
  <si>
    <t>Muni Cordoba 2027</t>
  </si>
  <si>
    <t>SF27D</t>
  </si>
  <si>
    <t>Santa Fe 2027</t>
  </si>
  <si>
    <t>CH24D</t>
  </si>
  <si>
    <t>Chaco 2028</t>
  </si>
  <si>
    <t>RIF25</t>
  </si>
  <si>
    <t>La Rioja 2028</t>
  </si>
  <si>
    <t>RND25</t>
  </si>
  <si>
    <t>Rio Negro 2028</t>
  </si>
  <si>
    <t>CO27</t>
  </si>
  <si>
    <t>Cordoba 2029</t>
  </si>
  <si>
    <t>PUL26</t>
  </si>
  <si>
    <t>Chubut 2029</t>
  </si>
  <si>
    <t>TFU27</t>
  </si>
  <si>
    <t>Tierra del Fuego 2030</t>
  </si>
  <si>
    <t>Neuquen 2030 (NDT25)</t>
  </si>
  <si>
    <t>NDT11</t>
  </si>
  <si>
    <t>Neuquen 2030 (NDT11)</t>
  </si>
  <si>
    <t>Entre Ríos 2033</t>
  </si>
  <si>
    <t>BDC33</t>
  </si>
  <si>
    <t>CABA 2033</t>
  </si>
  <si>
    <t>SFD34</t>
  </si>
  <si>
    <t>Santa Fe 2034</t>
  </si>
  <si>
    <t>Buenos Aires 2037 (BA37D)</t>
  </si>
  <si>
    <t>Buenos Aires 2037 (BB37D)</t>
  </si>
  <si>
    <t>Buenos Aires 2037 (BC37D)</t>
  </si>
  <si>
    <t>Ticker</t>
  </si>
  <si>
    <t>Nombre</t>
  </si>
  <si>
    <t>Fecha Vencimiento</t>
  </si>
  <si>
    <t>Ley</t>
  </si>
  <si>
    <t>Divisa</t>
  </si>
  <si>
    <t>BYCHD</t>
  </si>
  <si>
    <t>Banco Galicia 2028</t>
  </si>
  <si>
    <t>ny</t>
  </si>
  <si>
    <t>USD</t>
  </si>
  <si>
    <t>BACHD</t>
  </si>
  <si>
    <t>Banco Macro 2031</t>
  </si>
  <si>
    <t>CP38D</t>
  </si>
  <si>
    <t>CGC 2030</t>
  </si>
  <si>
    <t>DNC7D</t>
  </si>
  <si>
    <t>Edenor 2030</t>
  </si>
  <si>
    <t>DNCAD</t>
  </si>
  <si>
    <t>Edenor 2033</t>
  </si>
  <si>
    <t>MR46D</t>
  </si>
  <si>
    <t>GEMSA - CTR 2034</t>
  </si>
  <si>
    <t>GN49D</t>
  </si>
  <si>
    <t>GENNEIA 2033</t>
  </si>
  <si>
    <t>IRCFD</t>
  </si>
  <si>
    <t>IRSA 2028</t>
  </si>
  <si>
    <t>IRCPD</t>
  </si>
  <si>
    <t>IRSA 2035</t>
  </si>
  <si>
    <t>RUCDD</t>
  </si>
  <si>
    <t>MSU Energy 2030</t>
  </si>
  <si>
    <t>EAC4D</t>
  </si>
  <si>
    <t>MSU Green Energy 2036</t>
  </si>
  <si>
    <t>MGCMD</t>
  </si>
  <si>
    <t>Pampa Energía 2031</t>
  </si>
  <si>
    <t>MGCOD</t>
  </si>
  <si>
    <t>Pampa Energía 2034</t>
  </si>
  <si>
    <t>MGCRD</t>
  </si>
  <si>
    <t>Pampa Energía 2037</t>
  </si>
  <si>
    <t>PN43D</t>
  </si>
  <si>
    <t>PAE 2037</t>
  </si>
  <si>
    <t>PLC5D</t>
  </si>
  <si>
    <t>Pluspetrol 2031</t>
  </si>
  <si>
    <t>PLC4D</t>
  </si>
  <si>
    <t>Pluspetrol 2032</t>
  </si>
  <si>
    <t>PLC7D</t>
  </si>
  <si>
    <t>Pluspetrol 2037</t>
  </si>
  <si>
    <t>TTCDD</t>
  </si>
  <si>
    <t>Tecpetrol 2030</t>
  </si>
  <si>
    <t>TLCMD</t>
  </si>
  <si>
    <t>Telecom 2031</t>
  </si>
  <si>
    <t>TLCPD</t>
  </si>
  <si>
    <t>Telecom 2033</t>
  </si>
  <si>
    <t>TLCTD</t>
  </si>
  <si>
    <t>Telecom 2036</t>
  </si>
  <si>
    <t>TSC3D</t>
  </si>
  <si>
    <t>TGS 2031</t>
  </si>
  <si>
    <t>TSC4D</t>
  </si>
  <si>
    <t>TGS 2035</t>
  </si>
  <si>
    <t>VSCVD</t>
  </si>
  <si>
    <t>Vista Energy 2033</t>
  </si>
  <si>
    <t>VSCTD</t>
  </si>
  <si>
    <t>Vista Energy 2035</t>
  </si>
  <si>
    <t>VSCXD</t>
  </si>
  <si>
    <t>Vista Energy 2038</t>
  </si>
  <si>
    <t>YMCID</t>
  </si>
  <si>
    <t>YPF 2029</t>
  </si>
  <si>
    <t>YMCXD</t>
  </si>
  <si>
    <t>YPF 2031</t>
  </si>
  <si>
    <t>YMCJD</t>
  </si>
  <si>
    <t>YPF 2033</t>
  </si>
  <si>
    <t>YM34D</t>
  </si>
  <si>
    <t>YPF 2034</t>
  </si>
  <si>
    <t>YFCJD</t>
  </si>
  <si>
    <t>YPF Luz 2032</t>
  </si>
  <si>
    <t>OLC5D</t>
  </si>
  <si>
    <t>Oldelval 2028</t>
  </si>
  <si>
    <t>local</t>
  </si>
  <si>
    <t>OLC6D</t>
  </si>
  <si>
    <t>Oldelval 2029</t>
  </si>
  <si>
    <t>OLC7D</t>
  </si>
  <si>
    <t>Oldelval 2030</t>
  </si>
  <si>
    <t>PN38D</t>
  </si>
  <si>
    <t>PAE 2027</t>
  </si>
  <si>
    <t>PN41D</t>
  </si>
  <si>
    <t>PAE Ago-2029</t>
  </si>
  <si>
    <t>PN35D</t>
  </si>
  <si>
    <t>PAE Sep-2029</t>
  </si>
  <si>
    <t>PN36D</t>
  </si>
  <si>
    <t>PAE 2031</t>
  </si>
  <si>
    <t>MGCQD</t>
  </si>
  <si>
    <t>Pampa Energía 2028</t>
  </si>
  <si>
    <t>MGCTD</t>
  </si>
  <si>
    <t>Pampa Energía 2029</t>
  </si>
  <si>
    <t>MCC1D</t>
  </si>
  <si>
    <t>PECOM Servicios 2029</t>
  </si>
  <si>
    <t>MCC3D</t>
  </si>
  <si>
    <t>PECOM Servicios 2030</t>
  </si>
  <si>
    <t>PLC6D</t>
  </si>
  <si>
    <t>Pluspetrol 2029</t>
  </si>
  <si>
    <t>PLC2D</t>
  </si>
  <si>
    <t>Pluspetrol 2030</t>
  </si>
  <si>
    <t>VSCRD</t>
  </si>
  <si>
    <t>Vista 2031</t>
  </si>
  <si>
    <t>YM37D</t>
  </si>
  <si>
    <t>YPF May-2027</t>
  </si>
  <si>
    <t>YM38D</t>
  </si>
  <si>
    <t>YPF Jul-2027</t>
  </si>
  <si>
    <t>YMCYD</t>
  </si>
  <si>
    <t>YPF 2028</t>
  </si>
  <si>
    <t>YM42D</t>
  </si>
  <si>
    <t>YM43D</t>
  </si>
  <si>
    <t>YPF Abr-2030</t>
  </si>
  <si>
    <t>YM39D</t>
  </si>
  <si>
    <t>YPF Jul-2030</t>
  </si>
  <si>
    <t>BYCVD</t>
  </si>
  <si>
    <t>Banco Galicia 2026</t>
  </si>
  <si>
    <t>BF37D</t>
  </si>
  <si>
    <t>BBVA 2026</t>
  </si>
  <si>
    <t>CICAD</t>
  </si>
  <si>
    <t>CNH Industrial 2028</t>
  </si>
  <si>
    <t>HJCID</t>
  </si>
  <si>
    <t>John Deere 2027</t>
  </si>
  <si>
    <t>HJCLD</t>
  </si>
  <si>
    <t>John Deere 2028</t>
  </si>
  <si>
    <t>T662D</t>
  </si>
  <si>
    <t>Tarjeta Naranja 2026</t>
  </si>
  <si>
    <t>LOC5D</t>
  </si>
  <si>
    <t>Loma Negra 2027</t>
  </si>
  <si>
    <t>MIC6D</t>
  </si>
  <si>
    <t>Mirgor 2028</t>
  </si>
  <si>
    <t>PQCSD</t>
  </si>
  <si>
    <t>PCR 2031</t>
  </si>
  <si>
    <t>PFC2D</t>
  </si>
  <si>
    <t>Profertil 2027</t>
  </si>
  <si>
    <t>CACDD</t>
  </si>
  <si>
    <t>Capex 2029</t>
  </si>
  <si>
    <t>NPCCD</t>
  </si>
  <si>
    <t>Central Puerto 2029</t>
  </si>
  <si>
    <t>NPCDD</t>
  </si>
  <si>
    <t>Central Puerto 2030</t>
  </si>
  <si>
    <t>OZC3D</t>
  </si>
  <si>
    <t>EDEMSA 2027</t>
  </si>
  <si>
    <t>DNC3D</t>
  </si>
  <si>
    <t>EDENOR 2026</t>
  </si>
  <si>
    <t>DNC5D</t>
  </si>
  <si>
    <t>EDENOR 2028</t>
  </si>
  <si>
    <t>DNCBD</t>
  </si>
  <si>
    <t>EDENOR 2029</t>
  </si>
  <si>
    <t>RUCED</t>
  </si>
  <si>
    <t>MSU 2027</t>
  </si>
  <si>
    <t>TLCUD</t>
  </si>
  <si>
    <t>Telecom 2029</t>
  </si>
  <si>
    <t>TLCWD</t>
  </si>
  <si>
    <t>Telecom 2030</t>
  </si>
  <si>
    <t>CS52D</t>
  </si>
  <si>
    <t>Cresud Abr-2028</t>
  </si>
  <si>
    <t>CS48D</t>
  </si>
  <si>
    <t>Cresud Jul-2028</t>
  </si>
  <si>
    <t>CS47D</t>
  </si>
  <si>
    <t>Cresud Nov-2028</t>
  </si>
  <si>
    <t>Ticker</t>
  </si>
  <si>
    <t>Fecha</t>
  </si>
  <si>
    <t>Valor Residual</t>
  </si>
  <si>
    <t>Renta</t>
  </si>
  <si>
    <t>Amortización</t>
  </si>
  <si>
    <t>Total</t>
  </si>
  <si>
    <t>BYCHD</t>
  </si>
  <si>
    <t>BACHD</t>
  </si>
  <si>
    <t>CP38D</t>
  </si>
  <si>
    <t>DNC7D</t>
  </si>
  <si>
    <t>DNCAD</t>
  </si>
  <si>
    <t>MR46D</t>
  </si>
  <si>
    <t>IRCFD</t>
  </si>
  <si>
    <t>IRCPD</t>
  </si>
  <si>
    <t>RUCDD</t>
  </si>
  <si>
    <t>EAC4D</t>
  </si>
  <si>
    <t>MGCMD</t>
  </si>
  <si>
    <t>MGCOD</t>
  </si>
  <si>
    <t>MGCRD</t>
  </si>
  <si>
    <t>PN43D</t>
  </si>
  <si>
    <t>PLC5D</t>
  </si>
  <si>
    <t>PLC4D</t>
  </si>
  <si>
    <t>PLC7D</t>
  </si>
  <si>
    <t>TTCDD</t>
  </si>
  <si>
    <t>TLCMD</t>
  </si>
  <si>
    <t>TLCTD</t>
  </si>
  <si>
    <t>TSC3D</t>
  </si>
  <si>
    <t>TSC4D</t>
  </si>
  <si>
    <t>VSCVD</t>
  </si>
  <si>
    <t>VSCTD</t>
  </si>
  <si>
    <t>VSCXD</t>
  </si>
  <si>
    <t>YMCID</t>
  </si>
  <si>
    <t>YMCXD</t>
  </si>
  <si>
    <t>YMCJD</t>
  </si>
  <si>
    <t>YM34D</t>
  </si>
  <si>
    <t>YFCJD</t>
  </si>
  <si>
    <t>OLC5D</t>
  </si>
  <si>
    <t>OLC6D</t>
  </si>
  <si>
    <t>OLC7D</t>
  </si>
  <si>
    <t>PN38D</t>
  </si>
  <si>
    <t>PN41D</t>
  </si>
  <si>
    <t>PN35D</t>
  </si>
  <si>
    <t>PN36D</t>
  </si>
  <si>
    <t>MGCQD</t>
  </si>
  <si>
    <t>MGCTD</t>
  </si>
  <si>
    <t>MCC1D</t>
  </si>
  <si>
    <t>MCC3D</t>
  </si>
  <si>
    <t>PLC6D</t>
  </si>
  <si>
    <t>PLC2D</t>
  </si>
  <si>
    <t>VSCRD</t>
  </si>
  <si>
    <t>YM37D</t>
  </si>
  <si>
    <t>YM38D</t>
  </si>
  <si>
    <t>YMCYD</t>
  </si>
  <si>
    <t>YM42D</t>
  </si>
  <si>
    <t>YM43D</t>
  </si>
  <si>
    <t>YM39D</t>
  </si>
  <si>
    <t>BYCVD</t>
  </si>
  <si>
    <t>BF37D</t>
  </si>
  <si>
    <t>CICAD</t>
  </si>
  <si>
    <t>HJCID</t>
  </si>
  <si>
    <t>HJCLD</t>
  </si>
  <si>
    <t>T662D</t>
  </si>
  <si>
    <t>LOC5D</t>
  </si>
  <si>
    <t>MIC6D</t>
  </si>
  <si>
    <t>PFC2D</t>
  </si>
  <si>
    <t>CACDD</t>
  </si>
  <si>
    <t>NPCCD</t>
  </si>
  <si>
    <t>NPCDD</t>
  </si>
  <si>
    <t>OZC3D</t>
  </si>
  <si>
    <t>DNC3D</t>
  </si>
  <si>
    <t>DNC5D</t>
  </si>
  <si>
    <t>DNCBD</t>
  </si>
  <si>
    <t>TLCUD</t>
  </si>
  <si>
    <t>TLCWD</t>
  </si>
  <si>
    <t>CS52D</t>
  </si>
  <si>
    <t>CS48D</t>
  </si>
  <si>
    <t>CS47D</t>
  </si>
  <si>
    <t>Bueair27</t>
  </si>
  <si>
    <t>CO24</t>
  </si>
  <si>
    <t>Muni27</t>
  </si>
  <si>
    <t>SF27D</t>
  </si>
  <si>
    <t>SA24D</t>
  </si>
  <si>
    <t>CH24D</t>
  </si>
  <si>
    <t>RIF25</t>
  </si>
  <si>
    <t>RND25</t>
  </si>
  <si>
    <t>ERF25</t>
  </si>
  <si>
    <t>CO27</t>
  </si>
  <si>
    <t>PMM29</t>
  </si>
  <si>
    <t>PUL26</t>
  </si>
  <si>
    <t>TFU27</t>
  </si>
  <si>
    <t>NDT25</t>
  </si>
  <si>
    <t>NDT11</t>
  </si>
  <si>
    <t>CO32</t>
  </si>
  <si>
    <t>ERM33</t>
  </si>
  <si>
    <t>BDC33</t>
  </si>
  <si>
    <t>SFD34</t>
  </si>
  <si>
    <t>CO35</t>
  </si>
  <si>
    <t>PUA36</t>
  </si>
  <si>
    <t>BDC36</t>
  </si>
  <si>
    <t>BA37D</t>
  </si>
  <si>
    <t>BB37D</t>
  </si>
  <si>
    <t>BC37D</t>
  </si>
  <si>
    <t>JUS22</t>
  </si>
  <si>
    <t>RUCED</t>
  </si>
  <si>
    <t>PQCSD</t>
  </si>
  <si>
    <t>TLCPD</t>
  </si>
  <si>
    <t>GN49D</t>
  </si>
  <si>
    <t>PFC3D</t>
  </si>
  <si>
    <t>Profertil 2029</t>
  </si>
  <si>
    <t>RC2CD</t>
  </si>
  <si>
    <t>Arcor 2026</t>
  </si>
  <si>
    <t>YM35D</t>
  </si>
  <si>
    <t>YPF Feb-2027</t>
  </si>
  <si>
    <t>YFCMD</t>
  </si>
  <si>
    <t>YPF Luz 2027</t>
  </si>
  <si>
    <t>LUC5D</t>
  </si>
  <si>
    <t>Luz de Tres Picos 2029</t>
  </si>
  <si>
    <t>STCFD</t>
  </si>
  <si>
    <t>Grupo ST 2027</t>
  </si>
  <si>
    <t>WBS3D</t>
  </si>
  <si>
    <t>B. Mariva 2027</t>
  </si>
  <si>
    <t>CCL</t>
  </si>
  <si>
    <t>MEP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</si>
</sst>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961C-260F-4481-8170-F6D7AAFF346E}">
  <dimension ref="A1:G20"/>
  <sheetViews>
    <sheetView workbookViewId="0">
      <selection activeCell="H10" sqref="H10"/>
    </sheetView>
  </sheetViews>
  <sheetFormatPr baseColWidth="10" defaultRowHeight="15" x14ac:dyDescent="0.2"/>
  <cols>
    <col min="1" max="7" width="19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6" spans="1:7" x14ac:dyDescent="0.2">
      <c r="A6" s="1" t="s">
        <v>33</v>
      </c>
      <c r="B6" s="1" t="s">
        <v>8</v>
      </c>
      <c r="C6" s="3">
        <v>46052</v>
      </c>
      <c r="D6" s="3">
        <v>46234</v>
      </c>
      <c r="E6" s="1">
        <v>2.75</v>
      </c>
      <c r="F6" s="7">
        <f t="shared" ref="F6:F17" si="1">DAYS360(C6,D6)/30</f>
        <v>6</v>
      </c>
      <c r="G6" s="1">
        <f t="shared" si="0"/>
        <v>117.67683610092683</v>
      </c>
    </row>
    <row r="7" spans="1:7" x14ac:dyDescent="0.2">
      <c r="A7" s="1" t="s">
        <v>34</v>
      </c>
      <c r="B7" s="1" t="s">
        <v>8</v>
      </c>
      <c r="C7" s="3">
        <v>46129</v>
      </c>
      <c r="D7" s="3">
        <v>46248</v>
      </c>
      <c r="E7" s="1">
        <v>2</v>
      </c>
      <c r="F7" s="7">
        <f t="shared" si="1"/>
        <v>3.9</v>
      </c>
      <c r="G7" s="1">
        <f t="shared" si="0"/>
        <v>108.02907808826146</v>
      </c>
    </row>
    <row r="8" spans="1:7" x14ac:dyDescent="0.2">
      <c r="A8" s="1" t="s">
        <v>7</v>
      </c>
      <c r="B8" s="1" t="s">
        <v>8</v>
      </c>
      <c r="C8" s="3">
        <v>45971</v>
      </c>
      <c r="D8" s="3">
        <v>46265</v>
      </c>
      <c r="E8" s="1">
        <v>2.5</v>
      </c>
      <c r="F8" s="7">
        <f t="shared" si="1"/>
        <v>9.6999999999999993</v>
      </c>
      <c r="G8" s="1">
        <f>100*(1+E8/100)^F8</f>
        <v>127.06369905967132</v>
      </c>
    </row>
    <row r="9" spans="1:7" x14ac:dyDescent="0.2">
      <c r="A9" s="1" t="s">
        <v>9</v>
      </c>
      <c r="B9" s="1" t="s">
        <v>8</v>
      </c>
      <c r="C9" s="3">
        <v>46097</v>
      </c>
      <c r="D9" s="3">
        <v>46295</v>
      </c>
      <c r="E9" s="1">
        <v>2.5299999999999998</v>
      </c>
      <c r="F9" s="7">
        <f t="shared" si="1"/>
        <v>6.4666666666666668</v>
      </c>
      <c r="G9" s="1">
        <f>100*(1+E9/100)^F9</f>
        <v>117.53562589582242</v>
      </c>
    </row>
    <row r="10" spans="1:7" x14ac:dyDescent="0.2">
      <c r="A10" s="1" t="s">
        <v>35</v>
      </c>
      <c r="B10" s="1" t="s">
        <v>8</v>
      </c>
      <c r="C10" s="3">
        <v>45961</v>
      </c>
      <c r="D10" s="3">
        <v>46325</v>
      </c>
      <c r="E10" s="1">
        <v>2.5499999999999998</v>
      </c>
      <c r="F10" s="7">
        <f t="shared" si="1"/>
        <v>12</v>
      </c>
      <c r="G10" s="1">
        <f t="shared" ref="G10:G17" si="2">100*(1+E10/100)^F10</f>
        <v>135.27824999695426</v>
      </c>
    </row>
    <row r="11" spans="1:7" x14ac:dyDescent="0.2">
      <c r="A11" s="1" t="s">
        <v>36</v>
      </c>
      <c r="B11" s="1" t="s">
        <v>8</v>
      </c>
      <c r="C11" s="3">
        <v>46006</v>
      </c>
      <c r="D11" s="3">
        <v>46356</v>
      </c>
      <c r="E11" s="1">
        <v>2.2999999999999998</v>
      </c>
      <c r="F11" s="7">
        <f t="shared" si="1"/>
        <v>11.5</v>
      </c>
      <c r="G11" s="1">
        <f t="shared" si="2"/>
        <v>129.88822671719913</v>
      </c>
    </row>
    <row r="12" spans="1:7" x14ac:dyDescent="0.2">
      <c r="A12" s="1" t="s">
        <v>37</v>
      </c>
      <c r="B12" s="1" t="s">
        <v>8</v>
      </c>
      <c r="C12" s="3">
        <v>45688</v>
      </c>
      <c r="D12" s="3">
        <v>46402</v>
      </c>
      <c r="E12" s="1">
        <v>2.0499999999999998</v>
      </c>
      <c r="F12" s="7">
        <f t="shared" si="1"/>
        <v>23.5</v>
      </c>
      <c r="G12" s="1">
        <f t="shared" si="2"/>
        <v>161.10377342466148</v>
      </c>
    </row>
    <row r="13" spans="1:7" x14ac:dyDescent="0.2">
      <c r="A13" s="1" t="s">
        <v>38</v>
      </c>
      <c r="B13" s="1" t="s">
        <v>8</v>
      </c>
      <c r="C13" s="3">
        <v>45961</v>
      </c>
      <c r="D13" s="3">
        <v>46507</v>
      </c>
      <c r="E13" s="1">
        <v>2.5499999999999998</v>
      </c>
      <c r="F13" s="7">
        <f t="shared" si="1"/>
        <v>18</v>
      </c>
      <c r="G13" s="1">
        <f t="shared" si="2"/>
        <v>157.34102123941065</v>
      </c>
    </row>
    <row r="14" spans="1:7" x14ac:dyDescent="0.2">
      <c r="A14" s="1" t="s">
        <v>39</v>
      </c>
      <c r="B14" s="1" t="s">
        <v>8</v>
      </c>
      <c r="C14" s="3">
        <v>46006</v>
      </c>
      <c r="D14" s="3">
        <v>46538</v>
      </c>
      <c r="E14" s="1">
        <v>2.4</v>
      </c>
      <c r="F14" s="7">
        <f t="shared" si="1"/>
        <v>17.533333333333335</v>
      </c>
      <c r="G14" s="1">
        <f t="shared" si="2"/>
        <v>151.56278365654157</v>
      </c>
    </row>
    <row r="15" spans="1:7" x14ac:dyDescent="0.2">
      <c r="A15" s="1" t="s">
        <v>40</v>
      </c>
      <c r="B15" s="1" t="s">
        <v>8</v>
      </c>
      <c r="C15" s="3">
        <v>46038</v>
      </c>
      <c r="D15" s="3">
        <v>46568</v>
      </c>
      <c r="E15" s="1">
        <v>2.58</v>
      </c>
      <c r="F15" s="7">
        <f t="shared" si="1"/>
        <v>17.466666666666665</v>
      </c>
      <c r="G15" s="1">
        <f t="shared" si="2"/>
        <v>156.03729080688436</v>
      </c>
    </row>
    <row r="16" spans="1:7" x14ac:dyDescent="0.2">
      <c r="A16" s="1" t="s">
        <v>82</v>
      </c>
      <c r="B16" s="1" t="s">
        <v>8</v>
      </c>
      <c r="C16" s="3">
        <v>46171</v>
      </c>
      <c r="D16" s="3">
        <v>46280</v>
      </c>
      <c r="E16" s="1">
        <v>1.99</v>
      </c>
      <c r="F16" s="7">
        <f t="shared" si="1"/>
        <v>3.5333333333333332</v>
      </c>
      <c r="G16" s="1">
        <f t="shared" si="2"/>
        <v>107.21037727507621</v>
      </c>
    </row>
    <row r="17" spans="1:7" x14ac:dyDescent="0.2">
      <c r="A17" s="1" t="s">
        <v>95</v>
      </c>
      <c r="B17" s="1" t="s">
        <v>8</v>
      </c>
      <c r="C17" s="3">
        <v>46203</v>
      </c>
      <c r="D17" s="3">
        <v>46339</v>
      </c>
      <c r="E17" s="1">
        <v>2.1</v>
      </c>
      <c r="F17" s="7">
        <f t="shared" si="1"/>
        <v>4.4333333333333336</v>
      </c>
      <c r="G17" s="1">
        <f t="shared" si="2"/>
        <v>109.65138541823494</v>
      </c>
    </row>
    <row r="18" spans="1:7" x14ac:dyDescent="0.2">
      <c r="A18" s="1"/>
      <c r="B18" s="1"/>
      <c r="C18" s="3"/>
      <c r="D18" s="3"/>
      <c r="E18" s="1"/>
      <c r="F18" s="1"/>
      <c r="G18" s="1"/>
    </row>
    <row r="19" spans="1:7" x14ac:dyDescent="0.2">
      <c r="A19" s="1"/>
      <c r="B19" s="1"/>
      <c r="C19" s="3"/>
      <c r="D19" s="3"/>
      <c r="E19" s="1"/>
      <c r="F19" s="1"/>
      <c r="G19" s="1"/>
    </row>
    <row r="20" spans="1:7" x14ac:dyDescent="0.2">
      <c r="A20" s="1"/>
      <c r="B20" s="1"/>
      <c r="C20" s="3"/>
      <c r="D20" s="3"/>
      <c r="E20" s="1"/>
      <c r="F20" s="1"/>
      <c r="G20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D63A-F997-4A86-BBCE-0112B3AF8896}">
  <dimension ref="A1:G35"/>
  <sheetViews>
    <sheetView workbookViewId="0">
      <selection activeCell="C22" sqref="C22"/>
    </sheetView>
  </sheetViews>
  <sheetFormatPr baseColWidth="10" defaultRowHeight="15" x14ac:dyDescent="0.2"/>
  <cols>
    <col min="1" max="7" width="13.6640625" customWidth="1"/>
  </cols>
  <sheetData>
    <row r="1" spans="1:7" x14ac:dyDescent="0.2">
      <c r="A1" s="2" t="s">
        <v>0</v>
      </c>
      <c r="B1" s="2" t="s">
        <v>10</v>
      </c>
      <c r="C1" s="2" t="s">
        <v>11</v>
      </c>
      <c r="D1" s="2" t="s">
        <v>14</v>
      </c>
      <c r="E1" s="2" t="s">
        <v>12</v>
      </c>
      <c r="F1" s="2" t="s">
        <v>13</v>
      </c>
      <c r="G1" s="2" t="s">
        <v>15</v>
      </c>
    </row>
    <row r="2" spans="1:7" x14ac:dyDescent="0.2">
      <c r="A2" s="1" t="s">
        <v>16</v>
      </c>
      <c r="B2" s="3">
        <v>42660</v>
      </c>
      <c r="C2" s="1">
        <v>100</v>
      </c>
      <c r="D2" s="1">
        <v>0</v>
      </c>
      <c r="E2" s="1">
        <v>0</v>
      </c>
      <c r="F2" s="1">
        <v>0</v>
      </c>
      <c r="G2" s="1">
        <f>F2+E2</f>
        <v>0</v>
      </c>
    </row>
    <row r="3" spans="1:7" x14ac:dyDescent="0.2">
      <c r="A3" s="1" t="s">
        <v>16</v>
      </c>
      <c r="B3" s="3">
        <v>42842</v>
      </c>
      <c r="C3" s="1">
        <v>100</v>
      </c>
      <c r="D3" s="4">
        <v>0.155</v>
      </c>
      <c r="E3" s="5">
        <f>((D3*C2)/360)*DAYS360(B2,B3)</f>
        <v>7.75</v>
      </c>
      <c r="F3" s="1">
        <v>0</v>
      </c>
      <c r="G3" s="1">
        <f>F3+E3</f>
        <v>7.75</v>
      </c>
    </row>
    <row r="4" spans="1:7" x14ac:dyDescent="0.2">
      <c r="A4" s="1" t="s">
        <v>16</v>
      </c>
      <c r="B4" s="3">
        <v>43025</v>
      </c>
      <c r="C4" s="1">
        <v>100</v>
      </c>
      <c r="D4" s="4">
        <v>0.155</v>
      </c>
      <c r="E4" s="5">
        <f t="shared" ref="E4:E22" si="0">((D4*C3)/360)*DAYS360(B3,B4)</f>
        <v>7.75</v>
      </c>
      <c r="F4" s="1">
        <v>0</v>
      </c>
      <c r="G4" s="1">
        <f t="shared" ref="G4:G22" si="1">F4+E4</f>
        <v>7.75</v>
      </c>
    </row>
    <row r="5" spans="1:7" x14ac:dyDescent="0.2">
      <c r="A5" s="1" t="s">
        <v>16</v>
      </c>
      <c r="B5" s="3">
        <v>43207</v>
      </c>
      <c r="C5" s="1">
        <v>100</v>
      </c>
      <c r="D5" s="4">
        <v>0.155</v>
      </c>
      <c r="E5" s="5">
        <f t="shared" si="0"/>
        <v>7.75</v>
      </c>
      <c r="F5" s="1">
        <v>0</v>
      </c>
      <c r="G5" s="1">
        <f t="shared" si="1"/>
        <v>7.75</v>
      </c>
    </row>
    <row r="6" spans="1:7" x14ac:dyDescent="0.2">
      <c r="A6" s="1" t="s">
        <v>16</v>
      </c>
      <c r="B6" s="3">
        <v>43390</v>
      </c>
      <c r="C6" s="1">
        <v>100</v>
      </c>
      <c r="D6" s="4">
        <v>0.155</v>
      </c>
      <c r="E6" s="5">
        <f t="shared" si="0"/>
        <v>7.75</v>
      </c>
      <c r="F6" s="1">
        <v>0</v>
      </c>
      <c r="G6" s="1">
        <f t="shared" si="1"/>
        <v>7.75</v>
      </c>
    </row>
    <row r="7" spans="1:7" x14ac:dyDescent="0.2">
      <c r="A7" s="1" t="s">
        <v>16</v>
      </c>
      <c r="B7" s="3">
        <v>43572</v>
      </c>
      <c r="C7" s="1">
        <v>100</v>
      </c>
      <c r="D7" s="4">
        <v>0.155</v>
      </c>
      <c r="E7" s="5">
        <f t="shared" si="0"/>
        <v>7.75</v>
      </c>
      <c r="F7" s="1">
        <v>0</v>
      </c>
      <c r="G7" s="1">
        <f t="shared" si="1"/>
        <v>7.75</v>
      </c>
    </row>
    <row r="8" spans="1:7" x14ac:dyDescent="0.2">
      <c r="A8" s="1" t="s">
        <v>16</v>
      </c>
      <c r="B8" s="3">
        <v>43755</v>
      </c>
      <c r="C8" s="1">
        <v>100</v>
      </c>
      <c r="D8" s="4">
        <v>0.155</v>
      </c>
      <c r="E8" s="5">
        <f t="shared" si="0"/>
        <v>7.75</v>
      </c>
      <c r="F8" s="1">
        <v>0</v>
      </c>
      <c r="G8" s="1">
        <f t="shared" si="1"/>
        <v>7.75</v>
      </c>
    </row>
    <row r="9" spans="1:7" x14ac:dyDescent="0.2">
      <c r="A9" s="1" t="s">
        <v>16</v>
      </c>
      <c r="B9" s="3">
        <v>43938</v>
      </c>
      <c r="C9" s="1">
        <v>100</v>
      </c>
      <c r="D9" s="4">
        <v>0.155</v>
      </c>
      <c r="E9" s="5">
        <f t="shared" si="0"/>
        <v>7.75</v>
      </c>
      <c r="F9" s="1">
        <v>0</v>
      </c>
      <c r="G9" s="1">
        <f t="shared" si="1"/>
        <v>7.75</v>
      </c>
    </row>
    <row r="10" spans="1:7" x14ac:dyDescent="0.2">
      <c r="A10" s="1" t="s">
        <v>16</v>
      </c>
      <c r="B10" s="3">
        <v>44121</v>
      </c>
      <c r="C10" s="1">
        <v>100</v>
      </c>
      <c r="D10" s="4">
        <v>0.155</v>
      </c>
      <c r="E10" s="5">
        <f t="shared" si="0"/>
        <v>7.75</v>
      </c>
      <c r="F10" s="1">
        <v>0</v>
      </c>
      <c r="G10" s="1">
        <f t="shared" si="1"/>
        <v>7.75</v>
      </c>
    </row>
    <row r="11" spans="1:7" x14ac:dyDescent="0.2">
      <c r="A11" s="1" t="s">
        <v>16</v>
      </c>
      <c r="B11" s="3">
        <v>44303</v>
      </c>
      <c r="C11" s="1">
        <v>100</v>
      </c>
      <c r="D11" s="4">
        <v>0.155</v>
      </c>
      <c r="E11" s="5">
        <f t="shared" si="0"/>
        <v>7.75</v>
      </c>
      <c r="F11" s="1">
        <v>0</v>
      </c>
      <c r="G11" s="1">
        <f t="shared" si="1"/>
        <v>7.75</v>
      </c>
    </row>
    <row r="12" spans="1:7" x14ac:dyDescent="0.2">
      <c r="A12" s="1" t="s">
        <v>16</v>
      </c>
      <c r="B12" s="3">
        <v>44486</v>
      </c>
      <c r="C12" s="1">
        <v>100</v>
      </c>
      <c r="D12" s="4">
        <v>0.155</v>
      </c>
      <c r="E12" s="5">
        <f t="shared" si="0"/>
        <v>7.75</v>
      </c>
      <c r="F12" s="1">
        <v>0</v>
      </c>
      <c r="G12" s="1">
        <f t="shared" si="1"/>
        <v>7.75</v>
      </c>
    </row>
    <row r="13" spans="1:7" x14ac:dyDescent="0.2">
      <c r="A13" s="1" t="s">
        <v>16</v>
      </c>
      <c r="B13" s="3">
        <v>44668</v>
      </c>
      <c r="C13" s="1">
        <v>100</v>
      </c>
      <c r="D13" s="4">
        <v>0.155</v>
      </c>
      <c r="E13" s="5">
        <f t="shared" si="0"/>
        <v>7.75</v>
      </c>
      <c r="F13" s="1">
        <v>0</v>
      </c>
      <c r="G13" s="1">
        <f t="shared" si="1"/>
        <v>7.75</v>
      </c>
    </row>
    <row r="14" spans="1:7" x14ac:dyDescent="0.2">
      <c r="A14" s="1" t="s">
        <v>16</v>
      </c>
      <c r="B14" s="3">
        <v>44851</v>
      </c>
      <c r="C14" s="1">
        <v>100</v>
      </c>
      <c r="D14" s="4">
        <v>0.155</v>
      </c>
      <c r="E14" s="5">
        <f t="shared" si="0"/>
        <v>7.75</v>
      </c>
      <c r="F14" s="1">
        <v>0</v>
      </c>
      <c r="G14" s="1">
        <f t="shared" si="1"/>
        <v>7.75</v>
      </c>
    </row>
    <row r="15" spans="1:7" x14ac:dyDescent="0.2">
      <c r="A15" s="1" t="s">
        <v>16</v>
      </c>
      <c r="B15" s="3">
        <v>45033</v>
      </c>
      <c r="C15" s="1">
        <v>100</v>
      </c>
      <c r="D15" s="4">
        <v>0.155</v>
      </c>
      <c r="E15" s="5">
        <f t="shared" si="0"/>
        <v>7.75</v>
      </c>
      <c r="F15" s="1">
        <v>0</v>
      </c>
      <c r="G15" s="1">
        <f t="shared" si="1"/>
        <v>7.75</v>
      </c>
    </row>
    <row r="16" spans="1:7" x14ac:dyDescent="0.2">
      <c r="A16" s="1" t="s">
        <v>16</v>
      </c>
      <c r="B16" s="3">
        <v>45216</v>
      </c>
      <c r="C16" s="1">
        <v>100</v>
      </c>
      <c r="D16" s="4">
        <v>0.155</v>
      </c>
      <c r="E16" s="5">
        <f t="shared" si="0"/>
        <v>7.75</v>
      </c>
      <c r="F16" s="1">
        <v>0</v>
      </c>
      <c r="G16" s="1">
        <f t="shared" si="1"/>
        <v>7.75</v>
      </c>
    </row>
    <row r="17" spans="1:7" x14ac:dyDescent="0.2">
      <c r="A17" s="1" t="s">
        <v>16</v>
      </c>
      <c r="B17" s="3">
        <v>45399</v>
      </c>
      <c r="C17" s="1">
        <v>100</v>
      </c>
      <c r="D17" s="4">
        <v>0.155</v>
      </c>
      <c r="E17" s="5">
        <f t="shared" si="0"/>
        <v>7.75</v>
      </c>
      <c r="F17" s="1">
        <v>0</v>
      </c>
      <c r="G17" s="1">
        <f t="shared" si="1"/>
        <v>7.75</v>
      </c>
    </row>
    <row r="18" spans="1:7" x14ac:dyDescent="0.2">
      <c r="A18" s="1" t="s">
        <v>16</v>
      </c>
      <c r="B18" s="3">
        <v>45582</v>
      </c>
      <c r="C18" s="1">
        <v>100</v>
      </c>
      <c r="D18" s="4">
        <v>0.155</v>
      </c>
      <c r="E18" s="5">
        <f t="shared" si="0"/>
        <v>7.75</v>
      </c>
      <c r="F18" s="1">
        <v>0</v>
      </c>
      <c r="G18" s="1">
        <f t="shared" si="1"/>
        <v>7.75</v>
      </c>
    </row>
    <row r="19" spans="1:7" x14ac:dyDescent="0.2">
      <c r="A19" s="1" t="s">
        <v>16</v>
      </c>
      <c r="B19" s="3">
        <v>45764</v>
      </c>
      <c r="C19" s="1">
        <v>100</v>
      </c>
      <c r="D19" s="4">
        <v>0.155</v>
      </c>
      <c r="E19" s="5">
        <f t="shared" si="0"/>
        <v>7.75</v>
      </c>
      <c r="F19" s="1">
        <v>0</v>
      </c>
      <c r="G19" s="1">
        <f t="shared" si="1"/>
        <v>7.75</v>
      </c>
    </row>
    <row r="20" spans="1:7" x14ac:dyDescent="0.2">
      <c r="A20" s="1" t="s">
        <v>16</v>
      </c>
      <c r="B20" s="3">
        <v>45947</v>
      </c>
      <c r="C20" s="1">
        <v>100</v>
      </c>
      <c r="D20" s="4">
        <v>0.155</v>
      </c>
      <c r="E20" s="5">
        <f t="shared" si="0"/>
        <v>7.75</v>
      </c>
      <c r="F20" s="1">
        <v>0</v>
      </c>
      <c r="G20" s="1">
        <f t="shared" si="1"/>
        <v>7.75</v>
      </c>
    </row>
    <row r="21" spans="1:7" x14ac:dyDescent="0.2">
      <c r="A21" s="1" t="s">
        <v>16</v>
      </c>
      <c r="B21" s="3">
        <v>46129</v>
      </c>
      <c r="C21" s="1">
        <v>100</v>
      </c>
      <c r="D21" s="4">
        <v>0.155</v>
      </c>
      <c r="E21" s="5">
        <f t="shared" si="0"/>
        <v>7.75</v>
      </c>
      <c r="F21" s="1">
        <v>0</v>
      </c>
      <c r="G21" s="1">
        <f t="shared" si="1"/>
        <v>7.75</v>
      </c>
    </row>
    <row r="22" spans="1:7" x14ac:dyDescent="0.2">
      <c r="A22" s="1" t="s">
        <v>16</v>
      </c>
      <c r="B22" s="3">
        <v>46312</v>
      </c>
      <c r="C22" s="1">
        <f>C21-F22</f>
        <v>0</v>
      </c>
      <c r="D22" s="4">
        <v>0.155</v>
      </c>
      <c r="E22" s="5">
        <f t="shared" si="0"/>
        <v>7.75</v>
      </c>
      <c r="F22" s="1">
        <v>100</v>
      </c>
      <c r="G22" s="1">
        <f t="shared" si="1"/>
        <v>107.75</v>
      </c>
    </row>
    <row r="24" spans="1:7" x14ac:dyDescent="0.2">
      <c r="A24" s="2" t="s">
        <v>0</v>
      </c>
      <c r="B24" s="2" t="s">
        <v>10</v>
      </c>
      <c r="C24" s="2" t="s">
        <v>11</v>
      </c>
      <c r="D24" s="2" t="s">
        <v>14</v>
      </c>
      <c r="E24" s="2" t="s">
        <v>12</v>
      </c>
      <c r="F24" s="2" t="s">
        <v>13</v>
      </c>
      <c r="G24" s="2" t="s">
        <v>15</v>
      </c>
    </row>
    <row r="25" spans="1:7" x14ac:dyDescent="0.2">
      <c r="A25" s="1" t="s">
        <v>17</v>
      </c>
      <c r="B25" s="3">
        <v>45812</v>
      </c>
      <c r="C25" s="1">
        <v>100</v>
      </c>
      <c r="D25" s="4">
        <v>0.29499999999999998</v>
      </c>
      <c r="E25" s="5">
        <v>0</v>
      </c>
      <c r="F25" s="1">
        <v>0</v>
      </c>
      <c r="G25" s="1">
        <f>F25+E25</f>
        <v>0</v>
      </c>
    </row>
    <row r="26" spans="1:7" x14ac:dyDescent="0.2">
      <c r="A26" s="1" t="s">
        <v>17</v>
      </c>
      <c r="B26" s="3">
        <v>45991</v>
      </c>
      <c r="C26" s="1">
        <v>100</v>
      </c>
      <c r="D26" s="4">
        <v>0.29499999999999998</v>
      </c>
      <c r="E26" s="5">
        <f>((D26*C25)/360)*DAYS360(B25,B26)</f>
        <v>14.422222222222222</v>
      </c>
      <c r="F26" s="1">
        <v>0</v>
      </c>
      <c r="G26" s="5">
        <f t="shared" ref="G26:G35" si="2">F26+E26</f>
        <v>14.422222222222222</v>
      </c>
    </row>
    <row r="27" spans="1:7" x14ac:dyDescent="0.2">
      <c r="A27" s="1" t="s">
        <v>17</v>
      </c>
      <c r="B27" s="3">
        <v>46172</v>
      </c>
      <c r="C27" s="1">
        <v>100</v>
      </c>
      <c r="D27" s="4">
        <v>0.29499999999999998</v>
      </c>
      <c r="E27" s="5">
        <f t="shared" ref="E27:E35" si="3">((D27*C26)/360)*DAYS360(B26,B27)</f>
        <v>14.75</v>
      </c>
      <c r="F27" s="1">
        <v>0</v>
      </c>
      <c r="G27" s="1">
        <f t="shared" si="2"/>
        <v>14.75</v>
      </c>
    </row>
    <row r="28" spans="1:7" x14ac:dyDescent="0.2">
      <c r="A28" s="1" t="s">
        <v>17</v>
      </c>
      <c r="B28" s="3">
        <v>46356</v>
      </c>
      <c r="C28" s="1">
        <v>100</v>
      </c>
      <c r="D28" s="4">
        <v>0.29499999999999998</v>
      </c>
      <c r="E28" s="5">
        <f t="shared" si="3"/>
        <v>14.75</v>
      </c>
      <c r="F28" s="1">
        <v>0</v>
      </c>
      <c r="G28" s="1">
        <f t="shared" si="2"/>
        <v>14.75</v>
      </c>
    </row>
    <row r="29" spans="1:7" x14ac:dyDescent="0.2">
      <c r="A29" s="1" t="s">
        <v>17</v>
      </c>
      <c r="B29" s="3">
        <v>46537</v>
      </c>
      <c r="C29" s="1">
        <v>100</v>
      </c>
      <c r="D29" s="4">
        <v>0.29499999999999998</v>
      </c>
      <c r="E29" s="5">
        <f t="shared" si="3"/>
        <v>14.75</v>
      </c>
      <c r="F29" s="1">
        <v>0</v>
      </c>
      <c r="G29" s="1">
        <f t="shared" si="2"/>
        <v>14.75</v>
      </c>
    </row>
    <row r="30" spans="1:7" x14ac:dyDescent="0.2">
      <c r="A30" s="1" t="s">
        <v>17</v>
      </c>
      <c r="B30" s="3">
        <v>46721</v>
      </c>
      <c r="C30" s="1">
        <v>100</v>
      </c>
      <c r="D30" s="4">
        <v>0.29499999999999998</v>
      </c>
      <c r="E30" s="5">
        <f t="shared" si="3"/>
        <v>14.75</v>
      </c>
      <c r="F30" s="1">
        <v>0</v>
      </c>
      <c r="G30" s="1">
        <f t="shared" si="2"/>
        <v>14.75</v>
      </c>
    </row>
    <row r="31" spans="1:7" x14ac:dyDescent="0.2">
      <c r="A31" s="1" t="s">
        <v>17</v>
      </c>
      <c r="B31" s="3">
        <v>46903</v>
      </c>
      <c r="C31" s="1">
        <v>100</v>
      </c>
      <c r="D31" s="4">
        <v>0.29499999999999998</v>
      </c>
      <c r="E31" s="5">
        <f t="shared" si="3"/>
        <v>14.75</v>
      </c>
      <c r="F31" s="1">
        <v>0</v>
      </c>
      <c r="G31" s="1">
        <f t="shared" si="2"/>
        <v>14.75</v>
      </c>
    </row>
    <row r="32" spans="1:7" x14ac:dyDescent="0.2">
      <c r="A32" s="1" t="s">
        <v>17</v>
      </c>
      <c r="B32" s="3">
        <v>47087</v>
      </c>
      <c r="C32" s="1">
        <v>100</v>
      </c>
      <c r="D32" s="4">
        <v>0.29499999999999998</v>
      </c>
      <c r="E32" s="5">
        <f t="shared" si="3"/>
        <v>14.75</v>
      </c>
      <c r="F32" s="1">
        <v>0</v>
      </c>
      <c r="G32" s="1">
        <f t="shared" si="2"/>
        <v>14.75</v>
      </c>
    </row>
    <row r="33" spans="1:7" x14ac:dyDescent="0.2">
      <c r="A33" s="1" t="s">
        <v>17</v>
      </c>
      <c r="B33" s="3">
        <v>47268</v>
      </c>
      <c r="C33" s="1">
        <v>100</v>
      </c>
      <c r="D33" s="4">
        <v>0.29499999999999998</v>
      </c>
      <c r="E33" s="5">
        <f t="shared" si="3"/>
        <v>14.75</v>
      </c>
      <c r="F33" s="1">
        <v>0</v>
      </c>
      <c r="G33" s="1">
        <f t="shared" si="2"/>
        <v>14.75</v>
      </c>
    </row>
    <row r="34" spans="1:7" x14ac:dyDescent="0.2">
      <c r="A34" s="1" t="s">
        <v>17</v>
      </c>
      <c r="B34" s="3">
        <v>47452</v>
      </c>
      <c r="C34" s="1">
        <v>100</v>
      </c>
      <c r="D34" s="4">
        <v>0.29499999999999998</v>
      </c>
      <c r="E34" s="5">
        <f t="shared" si="3"/>
        <v>14.75</v>
      </c>
      <c r="F34" s="1">
        <v>0</v>
      </c>
      <c r="G34" s="1">
        <f t="shared" si="2"/>
        <v>14.75</v>
      </c>
    </row>
    <row r="35" spans="1:7" x14ac:dyDescent="0.2">
      <c r="A35" s="1" t="s">
        <v>17</v>
      </c>
      <c r="B35" s="3">
        <v>47633</v>
      </c>
      <c r="C35" s="1">
        <f>C34-F35</f>
        <v>0</v>
      </c>
      <c r="D35" s="4">
        <v>0.29499999999999998</v>
      </c>
      <c r="E35" s="5">
        <f t="shared" si="3"/>
        <v>14.75</v>
      </c>
      <c r="F35" s="1">
        <v>100</v>
      </c>
      <c r="G35" s="1">
        <f t="shared" si="2"/>
        <v>114.75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569F-8AD1-4E3B-A067-A5AC4159279E}">
  <dimension ref="A1:F21"/>
  <sheetViews>
    <sheetView workbookViewId="0">
      <selection activeCell="E16" sqref="E16"/>
    </sheetView>
  </sheetViews>
  <sheetFormatPr baseColWidth="10" defaultRowHeight="15" x14ac:dyDescent="0.2"/>
  <cols>
    <col min="1" max="6" width="17.83203125" customWidth="1"/>
  </cols>
  <sheetData>
    <row r="1" spans="1:6" x14ac:dyDescent="0.2">
      <c r="A1" s="2" t="s">
        <v>0</v>
      </c>
      <c r="B1" s="2" t="s">
        <v>1</v>
      </c>
      <c r="C1" s="2" t="s">
        <v>18</v>
      </c>
      <c r="D1" s="2" t="s">
        <v>19</v>
      </c>
      <c r="E1" s="2" t="s">
        <v>20</v>
      </c>
      <c r="F1" s="2" t="s">
        <v>21</v>
      </c>
    </row>
    <row r="3" spans="1:6" x14ac:dyDescent="0.2">
      <c r="A3" s="1" t="s">
        <v>41</v>
      </c>
      <c r="B3" s="1" t="s">
        <v>24</v>
      </c>
      <c r="C3" s="3">
        <v>45596</v>
      </c>
      <c r="D3" s="3">
        <v>46325</v>
      </c>
      <c r="E3" s="1">
        <v>10</v>
      </c>
      <c r="F3" s="1">
        <v>0</v>
      </c>
    </row>
    <row r="4" spans="1:6" x14ac:dyDescent="0.2">
      <c r="A4" s="1" t="s">
        <v>42</v>
      </c>
      <c r="B4" s="1" t="s">
        <v>24</v>
      </c>
      <c r="C4" s="3">
        <v>45366</v>
      </c>
      <c r="D4" s="3">
        <v>46371</v>
      </c>
      <c r="E4" s="1">
        <v>10</v>
      </c>
      <c r="F4" s="1">
        <v>0</v>
      </c>
    </row>
    <row r="5" spans="1:6" x14ac:dyDescent="0.2">
      <c r="A5" s="1" t="s">
        <v>43</v>
      </c>
      <c r="B5" s="1" t="s">
        <v>24</v>
      </c>
      <c r="C5" s="3">
        <v>45432</v>
      </c>
      <c r="D5" s="3">
        <v>46477</v>
      </c>
      <c r="E5" s="1">
        <v>10</v>
      </c>
      <c r="F5" s="1">
        <v>0</v>
      </c>
    </row>
    <row r="6" spans="1:6" x14ac:dyDescent="0.2">
      <c r="A6" s="1" t="s">
        <v>44</v>
      </c>
      <c r="B6" s="1" t="s">
        <v>24</v>
      </c>
      <c r="C6" s="3">
        <v>45989</v>
      </c>
      <c r="D6" s="3">
        <v>46507</v>
      </c>
      <c r="E6" s="1">
        <v>10</v>
      </c>
      <c r="F6" s="1">
        <v>0</v>
      </c>
    </row>
    <row r="7" spans="1:6" x14ac:dyDescent="0.2">
      <c r="A7" s="1" t="s">
        <v>23</v>
      </c>
      <c r="B7" s="1" t="s">
        <v>24</v>
      </c>
      <c r="C7" s="3">
        <v>45323</v>
      </c>
      <c r="D7" s="3">
        <v>46568</v>
      </c>
      <c r="E7" s="1">
        <v>10</v>
      </c>
      <c r="F7" s="1">
        <v>0</v>
      </c>
    </row>
    <row r="8" spans="1:6" x14ac:dyDescent="0.2">
      <c r="A8" s="1" t="s">
        <v>45</v>
      </c>
      <c r="B8" s="1" t="s">
        <v>24</v>
      </c>
      <c r="C8" s="3">
        <v>46112</v>
      </c>
      <c r="D8" s="3">
        <v>46660</v>
      </c>
      <c r="E8" s="1">
        <v>10</v>
      </c>
      <c r="F8" s="1">
        <v>0</v>
      </c>
    </row>
    <row r="9" spans="1:6" x14ac:dyDescent="0.2">
      <c r="A9" s="1" t="s">
        <v>46</v>
      </c>
      <c r="B9" s="1" t="s">
        <v>24</v>
      </c>
      <c r="C9" s="3">
        <v>45366</v>
      </c>
      <c r="D9" s="3">
        <v>46736</v>
      </c>
      <c r="E9" s="1">
        <v>10</v>
      </c>
      <c r="F9" s="1">
        <v>0</v>
      </c>
    </row>
    <row r="10" spans="1:6" x14ac:dyDescent="0.2">
      <c r="A10" s="1" t="s">
        <v>47</v>
      </c>
      <c r="B10" s="1" t="s">
        <v>24</v>
      </c>
      <c r="C10" s="3">
        <v>46112</v>
      </c>
      <c r="D10" s="3">
        <v>46843</v>
      </c>
      <c r="E10" s="1">
        <v>10</v>
      </c>
      <c r="F10" s="1">
        <v>0</v>
      </c>
    </row>
    <row r="11" spans="1:6" x14ac:dyDescent="0.2">
      <c r="A11" s="1" t="s">
        <v>48</v>
      </c>
      <c r="B11" s="1" t="s">
        <v>24</v>
      </c>
      <c r="C11" s="3">
        <v>45323</v>
      </c>
      <c r="D11" s="3">
        <v>46934</v>
      </c>
      <c r="E11" s="1">
        <v>10</v>
      </c>
      <c r="F11" s="1">
        <v>0</v>
      </c>
    </row>
    <row r="12" spans="1:6" x14ac:dyDescent="0.2">
      <c r="A12" s="1" t="s">
        <v>49</v>
      </c>
      <c r="B12" s="1" t="s">
        <v>24</v>
      </c>
      <c r="C12" s="3">
        <v>46112</v>
      </c>
      <c r="D12" s="3">
        <v>47025</v>
      </c>
      <c r="E12" s="1">
        <v>10</v>
      </c>
      <c r="F12" s="1">
        <v>0</v>
      </c>
    </row>
    <row r="13" spans="1:6" x14ac:dyDescent="0.2">
      <c r="A13" s="1" t="s">
        <v>50</v>
      </c>
      <c r="B13" s="1" t="s">
        <v>24</v>
      </c>
      <c r="C13" s="3">
        <v>46112</v>
      </c>
      <c r="D13" s="3">
        <v>47205</v>
      </c>
      <c r="E13" s="1">
        <v>10</v>
      </c>
      <c r="F13" s="1">
        <v>0</v>
      </c>
    </row>
    <row r="14" spans="1:6" x14ac:dyDescent="0.2">
      <c r="A14" s="1" t="s">
        <v>96</v>
      </c>
      <c r="B14" s="1" t="s">
        <v>24</v>
      </c>
      <c r="C14" s="3">
        <v>46203</v>
      </c>
      <c r="D14" s="3">
        <v>46689</v>
      </c>
      <c r="E14" s="1">
        <v>10</v>
      </c>
      <c r="F14" s="1">
        <v>0</v>
      </c>
    </row>
    <row r="15" spans="1:6" x14ac:dyDescent="0.2">
      <c r="A15" s="1" t="s">
        <v>97</v>
      </c>
      <c r="B15" s="1" t="s">
        <v>24</v>
      </c>
      <c r="C15" s="3">
        <v>46203</v>
      </c>
      <c r="D15" s="3">
        <v>47102</v>
      </c>
      <c r="E15" s="1">
        <v>10</v>
      </c>
      <c r="F15" s="1">
        <v>0</v>
      </c>
    </row>
    <row r="16" spans="1:6" x14ac:dyDescent="0.2">
      <c r="A16" s="1"/>
      <c r="B16" s="1"/>
      <c r="C16" s="3"/>
      <c r="D16" s="3"/>
      <c r="E16" s="1"/>
      <c r="F16" s="1"/>
    </row>
    <row r="17" spans="1:6" x14ac:dyDescent="0.2">
      <c r="A17" s="1"/>
      <c r="B17" s="1"/>
      <c r="C17" s="3"/>
      <c r="D17" s="3"/>
      <c r="E17" s="1"/>
      <c r="F17" s="1"/>
    </row>
    <row r="18" spans="1:6" x14ac:dyDescent="0.2">
      <c r="A18" s="1" t="s">
        <v>101</v>
      </c>
      <c r="B18" s="1" t="s">
        <v>24</v>
      </c>
      <c r="C18" s="3">
        <v>46006</v>
      </c>
      <c r="D18" s="3">
        <v>46538</v>
      </c>
      <c r="E18" s="1">
        <v>10</v>
      </c>
      <c r="F18" s="1">
        <v>0</v>
      </c>
    </row>
    <row r="19" spans="1:6" x14ac:dyDescent="0.2">
      <c r="A19" s="1" t="s">
        <v>102</v>
      </c>
      <c r="B19" s="1" t="s">
        <v>24</v>
      </c>
      <c r="C19" s="3">
        <v>46006</v>
      </c>
      <c r="D19" s="3">
        <v>46356</v>
      </c>
      <c r="E19" s="1">
        <v>10</v>
      </c>
      <c r="F19" s="1">
        <v>0</v>
      </c>
    </row>
    <row r="21" spans="1:6" x14ac:dyDescent="0.2">
      <c r="A21" s="1" t="s">
        <v>104</v>
      </c>
      <c r="B21" s="1" t="s">
        <v>24</v>
      </c>
      <c r="C21" s="3">
        <v>46097</v>
      </c>
      <c r="D21" s="3">
        <v>46295</v>
      </c>
      <c r="E21" s="1">
        <v>10</v>
      </c>
      <c r="F2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D422-24E5-4A5A-9B1F-3DDF62A8DF41}">
  <dimension ref="A1:F8"/>
  <sheetViews>
    <sheetView workbookViewId="0">
      <selection activeCell="C17" sqref="C17"/>
    </sheetView>
  </sheetViews>
  <sheetFormatPr baseColWidth="10" defaultRowHeight="15" x14ac:dyDescent="0.2"/>
  <cols>
    <col min="1" max="6" width="20.5" customWidth="1"/>
    <col min="7" max="7" width="14.5" customWidth="1"/>
  </cols>
  <sheetData>
    <row r="1" spans="1:6" x14ac:dyDescent="0.2">
      <c r="A1" s="2" t="s">
        <v>0</v>
      </c>
      <c r="B1" s="2" t="s">
        <v>1</v>
      </c>
      <c r="C1" s="2" t="s">
        <v>18</v>
      </c>
      <c r="D1" s="2" t="s">
        <v>19</v>
      </c>
      <c r="E1" s="2" t="s">
        <v>28</v>
      </c>
      <c r="F1" s="2" t="s">
        <v>21</v>
      </c>
    </row>
    <row r="2" spans="1:6" x14ac:dyDescent="0.2">
      <c r="A2" s="1" t="s">
        <v>51</v>
      </c>
      <c r="B2" s="1" t="s">
        <v>27</v>
      </c>
      <c r="C2" s="3">
        <v>45971</v>
      </c>
      <c r="D2" s="3">
        <v>46265</v>
      </c>
      <c r="E2" s="1">
        <v>10</v>
      </c>
      <c r="F2" s="4">
        <v>0.05</v>
      </c>
    </row>
    <row r="3" spans="1:6" x14ac:dyDescent="0.2">
      <c r="A3" s="1" t="s">
        <v>25</v>
      </c>
      <c r="B3" s="1" t="s">
        <v>27</v>
      </c>
      <c r="C3" s="3">
        <v>46066</v>
      </c>
      <c r="D3" s="3">
        <v>46444</v>
      </c>
      <c r="E3" s="1">
        <v>10</v>
      </c>
      <c r="F3" s="4">
        <v>6.5000000000000002E-2</v>
      </c>
    </row>
    <row r="4" spans="1:6" x14ac:dyDescent="0.2">
      <c r="A4" s="1" t="s">
        <v>26</v>
      </c>
      <c r="B4" s="1" t="s">
        <v>27</v>
      </c>
      <c r="C4" s="3">
        <v>46112</v>
      </c>
      <c r="D4" s="3">
        <v>46630</v>
      </c>
      <c r="E4" s="1">
        <v>10</v>
      </c>
      <c r="F4" s="6">
        <v>0.06</v>
      </c>
    </row>
    <row r="5" spans="1:6" x14ac:dyDescent="0.2">
      <c r="A5" s="1" t="s">
        <v>52</v>
      </c>
      <c r="B5" s="1" t="s">
        <v>27</v>
      </c>
      <c r="C5" s="3">
        <v>46132</v>
      </c>
      <c r="D5" s="3">
        <v>46808</v>
      </c>
      <c r="E5" s="1">
        <v>10</v>
      </c>
      <c r="F5" s="4">
        <v>6.5000000000000002E-2</v>
      </c>
    </row>
    <row r="6" spans="1:6" x14ac:dyDescent="0.2">
      <c r="A6" s="1" t="s">
        <v>53</v>
      </c>
      <c r="B6" s="1" t="s">
        <v>27</v>
      </c>
      <c r="C6" s="3">
        <v>46142</v>
      </c>
      <c r="D6" s="3">
        <v>46996</v>
      </c>
      <c r="E6" s="1">
        <v>10</v>
      </c>
      <c r="F6" s="4">
        <v>6.9000000000000006E-2</v>
      </c>
    </row>
    <row r="7" spans="1:6" x14ac:dyDescent="0.2">
      <c r="A7" s="1" t="s">
        <v>98</v>
      </c>
      <c r="B7" s="1" t="s">
        <v>27</v>
      </c>
      <c r="C7" s="3">
        <v>46203</v>
      </c>
      <c r="D7" s="3">
        <v>46598</v>
      </c>
      <c r="E7" s="1">
        <v>10</v>
      </c>
      <c r="F7" s="4">
        <v>5.3999999999999999E-2</v>
      </c>
    </row>
    <row r="8" spans="1:6" x14ac:dyDescent="0.2">
      <c r="A8" s="1"/>
      <c r="B8" s="1"/>
      <c r="C8" s="3"/>
      <c r="D8" s="3"/>
      <c r="E8" s="1"/>
      <c r="F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2C03-5D2E-4402-9FEE-10F6AEE7B245}">
  <dimension ref="A1:F10"/>
  <sheetViews>
    <sheetView tabSelected="1" workbookViewId="0">
      <selection activeCell="B18" sqref="B18"/>
    </sheetView>
  </sheetViews>
  <sheetFormatPr baseColWidth="10" defaultRowHeight="15" x14ac:dyDescent="0.2"/>
  <cols>
    <col min="1" max="6" width="19.1640625" customWidth="1"/>
  </cols>
  <sheetData>
    <row r="1" spans="1:6" x14ac:dyDescent="0.2">
      <c r="A1" s="2" t="s">
        <v>0</v>
      </c>
      <c r="B1" s="2" t="s">
        <v>1</v>
      </c>
      <c r="C1" s="2" t="s">
        <v>18</v>
      </c>
      <c r="D1" s="2" t="s">
        <v>19</v>
      </c>
      <c r="E1" s="2" t="s">
        <v>54</v>
      </c>
      <c r="F1" s="2" t="s">
        <v>21</v>
      </c>
    </row>
    <row r="3" spans="1:6" x14ac:dyDescent="0.2">
      <c r="A3" s="1" t="s">
        <v>57</v>
      </c>
      <c r="B3" s="1" t="s">
        <v>56</v>
      </c>
      <c r="C3" s="3">
        <v>46097</v>
      </c>
      <c r="D3" s="3">
        <v>46295</v>
      </c>
      <c r="E3" s="1">
        <v>1396.45</v>
      </c>
      <c r="F3" s="1">
        <v>0</v>
      </c>
    </row>
    <row r="4" spans="1:6" x14ac:dyDescent="0.2">
      <c r="A4" s="1" t="s">
        <v>58</v>
      </c>
      <c r="B4" s="1" t="s">
        <v>56</v>
      </c>
      <c r="C4" s="3">
        <v>46080</v>
      </c>
      <c r="D4" s="3">
        <v>46568</v>
      </c>
      <c r="E4" s="1">
        <v>1377.09</v>
      </c>
      <c r="F4" s="1">
        <v>0</v>
      </c>
    </row>
    <row r="5" spans="1:6" x14ac:dyDescent="0.2">
      <c r="A5" s="1" t="s">
        <v>59</v>
      </c>
      <c r="B5" s="1" t="s">
        <v>56</v>
      </c>
      <c r="C5" s="3">
        <v>46112</v>
      </c>
      <c r="D5" s="3">
        <v>46934</v>
      </c>
      <c r="E5" s="1">
        <v>1370.29</v>
      </c>
      <c r="F5" s="1">
        <v>0</v>
      </c>
    </row>
    <row r="6" spans="1:6" x14ac:dyDescent="0.2">
      <c r="A6" s="1" t="s">
        <v>83</v>
      </c>
      <c r="B6" s="1" t="s">
        <v>56</v>
      </c>
      <c r="C6" s="3">
        <v>46171</v>
      </c>
      <c r="D6" s="3">
        <v>46234</v>
      </c>
      <c r="E6" s="1">
        <v>1407.89</v>
      </c>
      <c r="F6" s="1">
        <v>0</v>
      </c>
    </row>
    <row r="7" spans="1:6" x14ac:dyDescent="0.2">
      <c r="A7" s="1" t="s">
        <v>84</v>
      </c>
      <c r="B7" s="1" t="s">
        <v>56</v>
      </c>
      <c r="C7" s="3">
        <v>46171</v>
      </c>
      <c r="D7" s="3">
        <v>46477</v>
      </c>
      <c r="E7" s="1">
        <v>1407.89</v>
      </c>
      <c r="F7" s="1">
        <v>0</v>
      </c>
    </row>
    <row r="8" spans="1:6" x14ac:dyDescent="0.2">
      <c r="A8" s="1" t="s">
        <v>90</v>
      </c>
      <c r="B8" s="1" t="s">
        <v>56</v>
      </c>
      <c r="C8" s="3">
        <v>46185</v>
      </c>
      <c r="D8" s="3">
        <v>46265</v>
      </c>
      <c r="E8" s="1">
        <v>1446.17</v>
      </c>
      <c r="F8" s="1">
        <v>0</v>
      </c>
    </row>
    <row r="9" spans="1:6" x14ac:dyDescent="0.2">
      <c r="A9" s="1" t="s">
        <v>91</v>
      </c>
      <c r="B9" s="1" t="s">
        <v>56</v>
      </c>
      <c r="C9" s="3">
        <v>46185</v>
      </c>
      <c r="D9" s="3">
        <v>47102</v>
      </c>
      <c r="E9" s="1">
        <v>1446.17</v>
      </c>
      <c r="F9" s="1">
        <v>0</v>
      </c>
    </row>
    <row r="10" spans="1:6" x14ac:dyDescent="0.2">
      <c r="A10" s="1" t="s">
        <v>100</v>
      </c>
      <c r="B10" s="1" t="s">
        <v>56</v>
      </c>
      <c r="C10" s="3">
        <v>46220</v>
      </c>
      <c r="D10" s="3">
        <v>46517</v>
      </c>
      <c r="E10" s="1">
        <v>1474.74</v>
      </c>
      <c r="F10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59B8-DD43-4B7F-9329-422163A0A2B5}">
  <dimension ref="A1:J264"/>
  <sheetViews>
    <sheetView topLeftCell="A179" workbookViewId="0">
      <selection activeCell="B237" sqref="B237"/>
    </sheetView>
  </sheetViews>
  <sheetFormatPr baseColWidth="10" defaultRowHeight="15" x14ac:dyDescent="0.2"/>
  <sheetData>
    <row r="1" spans="1:7" x14ac:dyDescent="0.2">
      <c r="A1" s="2" t="s">
        <v>0</v>
      </c>
      <c r="B1" s="2" t="s">
        <v>10</v>
      </c>
      <c r="C1" s="2" t="s">
        <v>11</v>
      </c>
      <c r="D1" s="2" t="s">
        <v>14</v>
      </c>
      <c r="E1" s="2" t="s">
        <v>12</v>
      </c>
      <c r="F1" s="2" t="s">
        <v>13</v>
      </c>
      <c r="G1" s="2" t="s">
        <v>15</v>
      </c>
    </row>
    <row r="2" spans="1:7" x14ac:dyDescent="0.2">
      <c r="A2" s="1" t="s">
        <v>60</v>
      </c>
      <c r="B2" s="3">
        <v>46080</v>
      </c>
      <c r="C2" s="1">
        <v>100</v>
      </c>
      <c r="D2" s="1">
        <v>0</v>
      </c>
      <c r="E2" s="1">
        <v>0</v>
      </c>
      <c r="F2" s="1">
        <v>0</v>
      </c>
      <c r="G2" s="1">
        <f>F2+E2</f>
        <v>0</v>
      </c>
    </row>
    <row r="3" spans="1:7" x14ac:dyDescent="0.2">
      <c r="A3" s="1" t="s">
        <v>60</v>
      </c>
      <c r="B3" s="3">
        <v>46112</v>
      </c>
      <c r="C3" s="1">
        <v>100</v>
      </c>
      <c r="D3" s="4">
        <v>0.06</v>
      </c>
      <c r="E3" s="5">
        <f>((D3*C2)/360)*DAYS360(B2,B3)</f>
        <v>0.56666666666666665</v>
      </c>
      <c r="F3" s="1">
        <v>0</v>
      </c>
      <c r="G3" s="1">
        <f>F3+E3</f>
        <v>0.56666666666666665</v>
      </c>
    </row>
    <row r="4" spans="1:7" x14ac:dyDescent="0.2">
      <c r="A4" s="1" t="s">
        <v>60</v>
      </c>
      <c r="B4" s="3">
        <v>46142</v>
      </c>
      <c r="C4" s="1">
        <v>100</v>
      </c>
      <c r="D4" s="4">
        <v>0.06</v>
      </c>
      <c r="E4" s="5">
        <f t="shared" ref="E4:E22" si="0">((D4*C3)/360)*DAYS360(B3,B4)</f>
        <v>0.5</v>
      </c>
      <c r="F4" s="1">
        <v>0</v>
      </c>
      <c r="G4" s="1">
        <f t="shared" ref="G4:G22" si="1">F4+E4</f>
        <v>0.5</v>
      </c>
    </row>
    <row r="5" spans="1:7" x14ac:dyDescent="0.2">
      <c r="A5" s="1" t="s">
        <v>60</v>
      </c>
      <c r="B5" s="3">
        <v>46171</v>
      </c>
      <c r="C5" s="1">
        <v>100</v>
      </c>
      <c r="D5" s="4">
        <v>0.06</v>
      </c>
      <c r="E5" s="5">
        <f t="shared" si="0"/>
        <v>0.48333333333333334</v>
      </c>
      <c r="F5" s="1">
        <v>0</v>
      </c>
      <c r="G5" s="1">
        <f t="shared" si="1"/>
        <v>0.48333333333333334</v>
      </c>
    </row>
    <row r="6" spans="1:7" x14ac:dyDescent="0.2">
      <c r="A6" s="1" t="s">
        <v>60</v>
      </c>
      <c r="B6" s="3">
        <v>46203</v>
      </c>
      <c r="C6" s="1">
        <v>100</v>
      </c>
      <c r="D6" s="4">
        <v>0.06</v>
      </c>
      <c r="E6" s="5">
        <f t="shared" si="0"/>
        <v>0.51666666666666661</v>
      </c>
      <c r="F6" s="1">
        <v>0</v>
      </c>
      <c r="G6" s="1">
        <f t="shared" si="1"/>
        <v>0.51666666666666661</v>
      </c>
    </row>
    <row r="7" spans="1:7" x14ac:dyDescent="0.2">
      <c r="A7" s="1" t="s">
        <v>60</v>
      </c>
      <c r="B7" s="3">
        <v>46234</v>
      </c>
      <c r="C7" s="1">
        <v>100</v>
      </c>
      <c r="D7" s="4">
        <v>0.06</v>
      </c>
      <c r="E7" s="5">
        <f t="shared" si="0"/>
        <v>0.5</v>
      </c>
      <c r="F7" s="1">
        <v>0</v>
      </c>
      <c r="G7" s="1">
        <f t="shared" si="1"/>
        <v>0.5</v>
      </c>
    </row>
    <row r="8" spans="1:7" x14ac:dyDescent="0.2">
      <c r="A8" s="1" t="s">
        <v>60</v>
      </c>
      <c r="B8" s="3">
        <v>46265</v>
      </c>
      <c r="C8" s="1">
        <v>100</v>
      </c>
      <c r="D8" s="4">
        <v>0.06</v>
      </c>
      <c r="E8" s="5">
        <f t="shared" si="0"/>
        <v>0.5</v>
      </c>
      <c r="F8" s="1">
        <v>0</v>
      </c>
      <c r="G8" s="1">
        <f t="shared" si="1"/>
        <v>0.5</v>
      </c>
    </row>
    <row r="9" spans="1:7" x14ac:dyDescent="0.2">
      <c r="A9" s="1" t="s">
        <v>60</v>
      </c>
      <c r="B9" s="3">
        <v>46295</v>
      </c>
      <c r="C9" s="1">
        <v>100</v>
      </c>
      <c r="D9" s="4">
        <v>0.06</v>
      </c>
      <c r="E9" s="5">
        <f t="shared" si="0"/>
        <v>0.5</v>
      </c>
      <c r="F9" s="1">
        <v>0</v>
      </c>
      <c r="G9" s="1">
        <f t="shared" si="1"/>
        <v>0.5</v>
      </c>
    </row>
    <row r="10" spans="1:7" x14ac:dyDescent="0.2">
      <c r="A10" s="1" t="s">
        <v>60</v>
      </c>
      <c r="B10" s="3">
        <v>46325</v>
      </c>
      <c r="C10" s="1">
        <v>100</v>
      </c>
      <c r="D10" s="4">
        <v>0.06</v>
      </c>
      <c r="E10" s="5">
        <f t="shared" si="0"/>
        <v>0.5</v>
      </c>
      <c r="F10" s="1">
        <v>0</v>
      </c>
      <c r="G10" s="1">
        <f t="shared" si="1"/>
        <v>0.5</v>
      </c>
    </row>
    <row r="11" spans="1:7" x14ac:dyDescent="0.2">
      <c r="A11" s="1" t="s">
        <v>60</v>
      </c>
      <c r="B11" s="3">
        <v>46356</v>
      </c>
      <c r="C11" s="1">
        <v>100</v>
      </c>
      <c r="D11" s="4">
        <v>0.06</v>
      </c>
      <c r="E11" s="5">
        <f t="shared" si="0"/>
        <v>0.5</v>
      </c>
      <c r="F11" s="1">
        <v>0</v>
      </c>
      <c r="G11" s="1">
        <f t="shared" si="1"/>
        <v>0.5</v>
      </c>
    </row>
    <row r="12" spans="1:7" x14ac:dyDescent="0.2">
      <c r="A12" s="1" t="s">
        <v>60</v>
      </c>
      <c r="B12" s="3">
        <v>46386</v>
      </c>
      <c r="C12" s="1">
        <v>100</v>
      </c>
      <c r="D12" s="4">
        <v>0.06</v>
      </c>
      <c r="E12" s="5">
        <f t="shared" si="0"/>
        <v>0.5</v>
      </c>
      <c r="F12" s="1">
        <v>0</v>
      </c>
      <c r="G12" s="1">
        <f t="shared" si="1"/>
        <v>0.5</v>
      </c>
    </row>
    <row r="13" spans="1:7" x14ac:dyDescent="0.2">
      <c r="A13" s="1" t="s">
        <v>60</v>
      </c>
      <c r="B13" s="3">
        <v>46416</v>
      </c>
      <c r="C13" s="1">
        <v>100</v>
      </c>
      <c r="D13" s="4">
        <v>0.06</v>
      </c>
      <c r="E13" s="5">
        <f t="shared" si="0"/>
        <v>0.48333333333333334</v>
      </c>
      <c r="F13" s="1">
        <v>0</v>
      </c>
      <c r="G13" s="1">
        <f t="shared" si="1"/>
        <v>0.48333333333333334</v>
      </c>
    </row>
    <row r="14" spans="1:7" x14ac:dyDescent="0.2">
      <c r="A14" s="1" t="s">
        <v>60</v>
      </c>
      <c r="B14" s="3">
        <v>46444</v>
      </c>
      <c r="C14" s="1">
        <v>100</v>
      </c>
      <c r="D14" s="4">
        <v>0.06</v>
      </c>
      <c r="E14" s="5">
        <f t="shared" si="0"/>
        <v>0.45</v>
      </c>
      <c r="F14" s="1">
        <v>0</v>
      </c>
      <c r="G14" s="1">
        <f t="shared" si="1"/>
        <v>0.45</v>
      </c>
    </row>
    <row r="15" spans="1:7" x14ac:dyDescent="0.2">
      <c r="A15" s="1" t="s">
        <v>60</v>
      </c>
      <c r="B15" s="3">
        <v>46477</v>
      </c>
      <c r="C15" s="1">
        <v>100</v>
      </c>
      <c r="D15" s="4">
        <v>0.06</v>
      </c>
      <c r="E15" s="5">
        <f t="shared" si="0"/>
        <v>0.58333333333333337</v>
      </c>
      <c r="F15" s="1">
        <v>0</v>
      </c>
      <c r="G15" s="1">
        <f t="shared" si="1"/>
        <v>0.58333333333333337</v>
      </c>
    </row>
    <row r="16" spans="1:7" x14ac:dyDescent="0.2">
      <c r="A16" s="1" t="s">
        <v>60</v>
      </c>
      <c r="B16" s="3">
        <v>46507</v>
      </c>
      <c r="C16" s="1">
        <v>100</v>
      </c>
      <c r="D16" s="4">
        <v>0.06</v>
      </c>
      <c r="E16" s="5">
        <f t="shared" si="0"/>
        <v>0.5</v>
      </c>
      <c r="F16" s="1">
        <v>0</v>
      </c>
      <c r="G16" s="1">
        <f t="shared" si="1"/>
        <v>0.5</v>
      </c>
    </row>
    <row r="17" spans="1:7" x14ac:dyDescent="0.2">
      <c r="A17" s="1" t="s">
        <v>60</v>
      </c>
      <c r="B17" s="3">
        <v>46538</v>
      </c>
      <c r="C17" s="1">
        <v>100</v>
      </c>
      <c r="D17" s="4">
        <v>0.06</v>
      </c>
      <c r="E17" s="5">
        <f t="shared" si="0"/>
        <v>0.5</v>
      </c>
      <c r="F17" s="1">
        <v>0</v>
      </c>
      <c r="G17" s="1">
        <f t="shared" si="1"/>
        <v>0.5</v>
      </c>
    </row>
    <row r="18" spans="1:7" x14ac:dyDescent="0.2">
      <c r="A18" s="1" t="s">
        <v>60</v>
      </c>
      <c r="B18" s="3">
        <v>46568</v>
      </c>
      <c r="C18" s="1">
        <v>100</v>
      </c>
      <c r="D18" s="4">
        <v>0.06</v>
      </c>
      <c r="E18" s="5">
        <f t="shared" si="0"/>
        <v>0.5</v>
      </c>
      <c r="F18" s="1">
        <v>0</v>
      </c>
      <c r="G18" s="1">
        <f t="shared" si="1"/>
        <v>0.5</v>
      </c>
    </row>
    <row r="19" spans="1:7" x14ac:dyDescent="0.2">
      <c r="A19" s="1" t="s">
        <v>60</v>
      </c>
      <c r="B19" s="3">
        <v>46598</v>
      </c>
      <c r="C19" s="1">
        <v>100</v>
      </c>
      <c r="D19" s="4">
        <v>0.06</v>
      </c>
      <c r="E19" s="5">
        <f t="shared" si="0"/>
        <v>0.5</v>
      </c>
      <c r="F19" s="1">
        <v>0</v>
      </c>
      <c r="G19" s="1">
        <f t="shared" si="1"/>
        <v>0.5</v>
      </c>
    </row>
    <row r="20" spans="1:7" x14ac:dyDescent="0.2">
      <c r="A20" s="1" t="s">
        <v>60</v>
      </c>
      <c r="B20" s="3">
        <v>46630</v>
      </c>
      <c r="C20" s="1">
        <v>100</v>
      </c>
      <c r="D20" s="4">
        <v>0.06</v>
      </c>
      <c r="E20" s="5">
        <f t="shared" si="0"/>
        <v>0.5</v>
      </c>
      <c r="F20" s="1">
        <v>0</v>
      </c>
      <c r="G20" s="1">
        <f t="shared" si="1"/>
        <v>0.5</v>
      </c>
    </row>
    <row r="21" spans="1:7" x14ac:dyDescent="0.2">
      <c r="A21" s="1" t="s">
        <v>60</v>
      </c>
      <c r="B21" s="3">
        <v>46660</v>
      </c>
      <c r="C21" s="1">
        <v>100</v>
      </c>
      <c r="D21" s="4">
        <v>0.06</v>
      </c>
      <c r="E21" s="5">
        <f t="shared" si="0"/>
        <v>0.5</v>
      </c>
      <c r="F21" s="1">
        <v>0</v>
      </c>
      <c r="G21" s="1">
        <f t="shared" si="1"/>
        <v>0.5</v>
      </c>
    </row>
    <row r="22" spans="1:7" x14ac:dyDescent="0.2">
      <c r="A22" s="1" t="s">
        <v>60</v>
      </c>
      <c r="B22" s="3">
        <v>46689</v>
      </c>
      <c r="C22" s="1">
        <f>C21-F22</f>
        <v>0</v>
      </c>
      <c r="D22" s="4">
        <v>0.06</v>
      </c>
      <c r="E22" s="5">
        <f t="shared" si="0"/>
        <v>0.48333333333333334</v>
      </c>
      <c r="F22" s="1">
        <v>100</v>
      </c>
      <c r="G22" s="1">
        <f t="shared" si="1"/>
        <v>100.48333333333333</v>
      </c>
    </row>
    <row r="24" spans="1:7" x14ac:dyDescent="0.2">
      <c r="A24" s="2" t="s">
        <v>0</v>
      </c>
      <c r="B24" s="2" t="s">
        <v>10</v>
      </c>
      <c r="C24" s="2" t="s">
        <v>11</v>
      </c>
      <c r="D24" s="2" t="s">
        <v>14</v>
      </c>
      <c r="E24" s="2" t="s">
        <v>12</v>
      </c>
      <c r="F24" s="2" t="s">
        <v>13</v>
      </c>
      <c r="G24" s="2" t="s">
        <v>15</v>
      </c>
    </row>
    <row r="25" spans="1:7" x14ac:dyDescent="0.2">
      <c r="A25" s="1" t="s">
        <v>61</v>
      </c>
      <c r="B25" s="3">
        <v>46112</v>
      </c>
      <c r="C25" s="1">
        <v>100</v>
      </c>
      <c r="D25" s="1">
        <v>0</v>
      </c>
      <c r="E25" s="1">
        <v>0</v>
      </c>
      <c r="F25" s="1">
        <v>0</v>
      </c>
      <c r="G25" s="1">
        <f>F25+E25</f>
        <v>0</v>
      </c>
    </row>
    <row r="26" spans="1:7" x14ac:dyDescent="0.2">
      <c r="A26" s="1" t="s">
        <v>61</v>
      </c>
      <c r="B26" s="3">
        <v>46142</v>
      </c>
      <c r="C26" s="1">
        <v>100</v>
      </c>
      <c r="D26" s="4">
        <v>0.06</v>
      </c>
      <c r="E26" s="5">
        <f t="shared" ref="E26:E43" si="2">((D26*C25)/360)*DAYS360(B25,B26)</f>
        <v>0.5</v>
      </c>
      <c r="F26" s="1">
        <v>0</v>
      </c>
      <c r="G26" s="1">
        <f t="shared" ref="G26:G43" si="3">F26+E26</f>
        <v>0.5</v>
      </c>
    </row>
    <row r="27" spans="1:7" x14ac:dyDescent="0.2">
      <c r="A27" s="1" t="s">
        <v>61</v>
      </c>
      <c r="B27" s="3">
        <v>46171</v>
      </c>
      <c r="C27" s="1">
        <v>100</v>
      </c>
      <c r="D27" s="4">
        <v>0.06</v>
      </c>
      <c r="E27" s="5">
        <f t="shared" si="2"/>
        <v>0.48333333333333334</v>
      </c>
      <c r="F27" s="1">
        <v>0</v>
      </c>
      <c r="G27" s="1">
        <f t="shared" si="3"/>
        <v>0.48333333333333334</v>
      </c>
    </row>
    <row r="28" spans="1:7" x14ac:dyDescent="0.2">
      <c r="A28" s="1" t="s">
        <v>61</v>
      </c>
      <c r="B28" s="3">
        <v>46203</v>
      </c>
      <c r="C28" s="1">
        <v>100</v>
      </c>
      <c r="D28" s="4">
        <v>0.06</v>
      </c>
      <c r="E28" s="5">
        <f t="shared" si="2"/>
        <v>0.51666666666666661</v>
      </c>
      <c r="F28" s="1">
        <v>0</v>
      </c>
      <c r="G28" s="1">
        <f t="shared" si="3"/>
        <v>0.51666666666666661</v>
      </c>
    </row>
    <row r="29" spans="1:7" x14ac:dyDescent="0.2">
      <c r="A29" s="1" t="s">
        <v>61</v>
      </c>
      <c r="B29" s="3">
        <v>46234</v>
      </c>
      <c r="C29" s="1">
        <v>100</v>
      </c>
      <c r="D29" s="4">
        <v>0.06</v>
      </c>
      <c r="E29" s="5">
        <f t="shared" si="2"/>
        <v>0.5</v>
      </c>
      <c r="F29" s="1">
        <v>0</v>
      </c>
      <c r="G29" s="1">
        <f t="shared" si="3"/>
        <v>0.5</v>
      </c>
    </row>
    <row r="30" spans="1:7" x14ac:dyDescent="0.2">
      <c r="A30" s="1" t="s">
        <v>61</v>
      </c>
      <c r="B30" s="3">
        <v>46265</v>
      </c>
      <c r="C30" s="1">
        <v>100</v>
      </c>
      <c r="D30" s="4">
        <v>0.06</v>
      </c>
      <c r="E30" s="5">
        <f t="shared" si="2"/>
        <v>0.5</v>
      </c>
      <c r="F30" s="1">
        <v>0</v>
      </c>
      <c r="G30" s="1">
        <f t="shared" si="3"/>
        <v>0.5</v>
      </c>
    </row>
    <row r="31" spans="1:7" x14ac:dyDescent="0.2">
      <c r="A31" s="1" t="s">
        <v>61</v>
      </c>
      <c r="B31" s="3">
        <v>46295</v>
      </c>
      <c r="C31" s="1">
        <v>100</v>
      </c>
      <c r="D31" s="4">
        <v>0.06</v>
      </c>
      <c r="E31" s="5">
        <f t="shared" si="2"/>
        <v>0.5</v>
      </c>
      <c r="F31" s="1">
        <v>0</v>
      </c>
      <c r="G31" s="1">
        <f t="shared" si="3"/>
        <v>0.5</v>
      </c>
    </row>
    <row r="32" spans="1:7" x14ac:dyDescent="0.2">
      <c r="A32" s="1" t="s">
        <v>61</v>
      </c>
      <c r="B32" s="3">
        <v>46325</v>
      </c>
      <c r="C32" s="1">
        <v>100</v>
      </c>
      <c r="D32" s="4">
        <v>0.06</v>
      </c>
      <c r="E32" s="5">
        <f t="shared" si="2"/>
        <v>0.5</v>
      </c>
      <c r="F32" s="1">
        <v>0</v>
      </c>
      <c r="G32" s="1">
        <f t="shared" si="3"/>
        <v>0.5</v>
      </c>
    </row>
    <row r="33" spans="1:7" x14ac:dyDescent="0.2">
      <c r="A33" s="1" t="s">
        <v>61</v>
      </c>
      <c r="B33" s="3">
        <v>46356</v>
      </c>
      <c r="C33" s="1">
        <v>100</v>
      </c>
      <c r="D33" s="4">
        <v>0.06</v>
      </c>
      <c r="E33" s="5">
        <f t="shared" si="2"/>
        <v>0.5</v>
      </c>
      <c r="F33" s="1">
        <v>0</v>
      </c>
      <c r="G33" s="1">
        <f t="shared" si="3"/>
        <v>0.5</v>
      </c>
    </row>
    <row r="34" spans="1:7" x14ac:dyDescent="0.2">
      <c r="A34" s="1" t="s">
        <v>61</v>
      </c>
      <c r="B34" s="3">
        <v>46386</v>
      </c>
      <c r="C34" s="1">
        <v>100</v>
      </c>
      <c r="D34" s="4">
        <v>0.06</v>
      </c>
      <c r="E34" s="5">
        <f t="shared" si="2"/>
        <v>0.5</v>
      </c>
      <c r="F34" s="1">
        <v>0</v>
      </c>
      <c r="G34" s="1">
        <f t="shared" si="3"/>
        <v>0.5</v>
      </c>
    </row>
    <row r="35" spans="1:7" x14ac:dyDescent="0.2">
      <c r="A35" s="1" t="s">
        <v>61</v>
      </c>
      <c r="B35" s="3">
        <v>46416</v>
      </c>
      <c r="C35" s="1">
        <v>100</v>
      </c>
      <c r="D35" s="4">
        <v>0.06</v>
      </c>
      <c r="E35" s="5">
        <f t="shared" si="2"/>
        <v>0.48333333333333334</v>
      </c>
      <c r="F35" s="1">
        <v>0</v>
      </c>
      <c r="G35" s="1">
        <f t="shared" si="3"/>
        <v>0.48333333333333334</v>
      </c>
    </row>
    <row r="36" spans="1:7" x14ac:dyDescent="0.2">
      <c r="A36" s="1" t="s">
        <v>61</v>
      </c>
      <c r="B36" s="3">
        <v>46444</v>
      </c>
      <c r="C36" s="1">
        <v>100</v>
      </c>
      <c r="D36" s="4">
        <v>0.06</v>
      </c>
      <c r="E36" s="5">
        <f t="shared" si="2"/>
        <v>0.45</v>
      </c>
      <c r="F36" s="1">
        <v>0</v>
      </c>
      <c r="G36" s="1">
        <f t="shared" si="3"/>
        <v>0.45</v>
      </c>
    </row>
    <row r="37" spans="1:7" x14ac:dyDescent="0.2">
      <c r="A37" s="1" t="s">
        <v>61</v>
      </c>
      <c r="B37" s="3">
        <v>46477</v>
      </c>
      <c r="C37" s="1">
        <v>100</v>
      </c>
      <c r="D37" s="4">
        <v>0.06</v>
      </c>
      <c r="E37" s="5">
        <f t="shared" si="2"/>
        <v>0.58333333333333337</v>
      </c>
      <c r="F37" s="1">
        <v>0</v>
      </c>
      <c r="G37" s="1">
        <f t="shared" si="3"/>
        <v>0.58333333333333337</v>
      </c>
    </row>
    <row r="38" spans="1:7" x14ac:dyDescent="0.2">
      <c r="A38" s="1" t="s">
        <v>61</v>
      </c>
      <c r="B38" s="3">
        <v>46507</v>
      </c>
      <c r="C38" s="1">
        <v>100</v>
      </c>
      <c r="D38" s="4">
        <v>0.06</v>
      </c>
      <c r="E38" s="5">
        <f t="shared" si="2"/>
        <v>0.5</v>
      </c>
      <c r="F38" s="1">
        <v>0</v>
      </c>
      <c r="G38" s="1">
        <f t="shared" si="3"/>
        <v>0.5</v>
      </c>
    </row>
    <row r="39" spans="1:7" x14ac:dyDescent="0.2">
      <c r="A39" s="1" t="s">
        <v>61</v>
      </c>
      <c r="B39" s="3">
        <v>46538</v>
      </c>
      <c r="C39" s="1">
        <v>100</v>
      </c>
      <c r="D39" s="4">
        <v>0.06</v>
      </c>
      <c r="E39" s="5">
        <f t="shared" si="2"/>
        <v>0.5</v>
      </c>
      <c r="F39" s="1">
        <v>0</v>
      </c>
      <c r="G39" s="1">
        <f t="shared" si="3"/>
        <v>0.5</v>
      </c>
    </row>
    <row r="40" spans="1:7" x14ac:dyDescent="0.2">
      <c r="A40" s="1" t="s">
        <v>61</v>
      </c>
      <c r="B40" s="3">
        <v>46568</v>
      </c>
      <c r="C40" s="1">
        <v>100</v>
      </c>
      <c r="D40" s="4">
        <v>0.06</v>
      </c>
      <c r="E40" s="5">
        <f t="shared" si="2"/>
        <v>0.5</v>
      </c>
      <c r="F40" s="1">
        <v>0</v>
      </c>
      <c r="G40" s="1">
        <f t="shared" si="3"/>
        <v>0.5</v>
      </c>
    </row>
    <row r="41" spans="1:7" x14ac:dyDescent="0.2">
      <c r="A41" s="1" t="s">
        <v>61</v>
      </c>
      <c r="B41" s="3">
        <v>46598</v>
      </c>
      <c r="C41" s="1">
        <v>100</v>
      </c>
      <c r="D41" s="4">
        <v>0.06</v>
      </c>
      <c r="E41" s="5">
        <f t="shared" si="2"/>
        <v>0.5</v>
      </c>
      <c r="F41" s="1">
        <v>0</v>
      </c>
      <c r="G41" s="1">
        <f t="shared" si="3"/>
        <v>0.5</v>
      </c>
    </row>
    <row r="42" spans="1:7" x14ac:dyDescent="0.2">
      <c r="A42" s="1" t="s">
        <v>61</v>
      </c>
      <c r="B42" s="3">
        <v>46630</v>
      </c>
      <c r="C42" s="1">
        <v>100</v>
      </c>
      <c r="D42" s="4">
        <v>0.06</v>
      </c>
      <c r="E42" s="5">
        <f t="shared" si="2"/>
        <v>0.5</v>
      </c>
      <c r="F42" s="1">
        <v>0</v>
      </c>
      <c r="G42" s="1">
        <f t="shared" si="3"/>
        <v>0.5</v>
      </c>
    </row>
    <row r="43" spans="1:7" x14ac:dyDescent="0.2">
      <c r="A43" s="1" t="s">
        <v>61</v>
      </c>
      <c r="B43" s="3">
        <v>46660</v>
      </c>
      <c r="C43" s="1">
        <v>100</v>
      </c>
      <c r="D43" s="4">
        <v>0.06</v>
      </c>
      <c r="E43" s="5">
        <f t="shared" si="2"/>
        <v>0.5</v>
      </c>
      <c r="F43" s="1">
        <v>0</v>
      </c>
      <c r="G43" s="1">
        <f t="shared" si="3"/>
        <v>0.5</v>
      </c>
    </row>
    <row r="44" spans="1:7" x14ac:dyDescent="0.2">
      <c r="A44" s="1" t="s">
        <v>61</v>
      </c>
      <c r="B44" s="3">
        <v>46689</v>
      </c>
      <c r="C44" s="1">
        <v>100</v>
      </c>
      <c r="D44" s="4">
        <v>0.06</v>
      </c>
      <c r="E44" s="5">
        <f t="shared" ref="E44:E56" si="4">((D44*C43)/360)*DAYS360(B43,B44)</f>
        <v>0.48333333333333334</v>
      </c>
      <c r="F44" s="1">
        <v>0</v>
      </c>
      <c r="G44" s="1">
        <f t="shared" ref="G44:G56" si="5">F44+E44</f>
        <v>0.48333333333333334</v>
      </c>
    </row>
    <row r="45" spans="1:7" x14ac:dyDescent="0.2">
      <c r="A45" s="1" t="s">
        <v>61</v>
      </c>
      <c r="B45" s="3">
        <v>46721</v>
      </c>
      <c r="C45" s="1">
        <v>100</v>
      </c>
      <c r="D45" s="4">
        <v>0.06</v>
      </c>
      <c r="E45" s="5">
        <f t="shared" si="4"/>
        <v>0.51666666666666661</v>
      </c>
      <c r="F45" s="1">
        <v>0</v>
      </c>
      <c r="G45" s="1">
        <f t="shared" si="5"/>
        <v>0.51666666666666661</v>
      </c>
    </row>
    <row r="46" spans="1:7" x14ac:dyDescent="0.2">
      <c r="A46" s="1" t="s">
        <v>61</v>
      </c>
      <c r="B46" s="3">
        <v>46751</v>
      </c>
      <c r="C46" s="1">
        <v>100</v>
      </c>
      <c r="D46" s="4">
        <v>0.06</v>
      </c>
      <c r="E46" s="5">
        <f t="shared" si="4"/>
        <v>0.5</v>
      </c>
      <c r="F46" s="1">
        <v>0</v>
      </c>
      <c r="G46" s="1">
        <f t="shared" si="5"/>
        <v>0.5</v>
      </c>
    </row>
    <row r="47" spans="1:7" x14ac:dyDescent="0.2">
      <c r="A47" s="1" t="s">
        <v>61</v>
      </c>
      <c r="B47" s="3">
        <v>46783</v>
      </c>
      <c r="C47" s="1">
        <v>100</v>
      </c>
      <c r="D47" s="4">
        <v>0.06</v>
      </c>
      <c r="E47" s="5">
        <f t="shared" si="4"/>
        <v>0.5</v>
      </c>
      <c r="F47" s="1">
        <v>0</v>
      </c>
      <c r="G47" s="1">
        <f t="shared" si="5"/>
        <v>0.5</v>
      </c>
    </row>
    <row r="48" spans="1:7" x14ac:dyDescent="0.2">
      <c r="A48" s="1" t="s">
        <v>61</v>
      </c>
      <c r="B48" s="3">
        <v>46812</v>
      </c>
      <c r="C48" s="1">
        <v>100</v>
      </c>
      <c r="D48" s="4">
        <v>0.06</v>
      </c>
      <c r="E48" s="5">
        <f t="shared" si="4"/>
        <v>0.48333333333333334</v>
      </c>
      <c r="F48" s="1">
        <v>0</v>
      </c>
      <c r="G48" s="1">
        <f t="shared" si="5"/>
        <v>0.48333333333333334</v>
      </c>
    </row>
    <row r="49" spans="1:7" x14ac:dyDescent="0.2">
      <c r="A49" s="1" t="s">
        <v>61</v>
      </c>
      <c r="B49" s="3">
        <v>46843</v>
      </c>
      <c r="C49" s="1">
        <v>100</v>
      </c>
      <c r="D49" s="4">
        <v>0.06</v>
      </c>
      <c r="E49" s="5">
        <f t="shared" si="4"/>
        <v>0.5</v>
      </c>
      <c r="F49" s="1">
        <v>0</v>
      </c>
      <c r="G49" s="1">
        <f t="shared" si="5"/>
        <v>0.5</v>
      </c>
    </row>
    <row r="50" spans="1:7" x14ac:dyDescent="0.2">
      <c r="A50" s="1" t="s">
        <v>61</v>
      </c>
      <c r="B50" s="3">
        <v>46871</v>
      </c>
      <c r="C50" s="1">
        <v>100</v>
      </c>
      <c r="D50" s="4">
        <v>0.06</v>
      </c>
      <c r="E50" s="5">
        <f t="shared" si="4"/>
        <v>0.46666666666666667</v>
      </c>
      <c r="F50" s="1">
        <v>0</v>
      </c>
      <c r="G50" s="1">
        <f t="shared" si="5"/>
        <v>0.46666666666666667</v>
      </c>
    </row>
    <row r="51" spans="1:7" x14ac:dyDescent="0.2">
      <c r="A51" s="1" t="s">
        <v>61</v>
      </c>
      <c r="B51" s="3">
        <v>46904</v>
      </c>
      <c r="C51" s="1">
        <v>100</v>
      </c>
      <c r="D51" s="4">
        <v>0.06</v>
      </c>
      <c r="E51" s="5">
        <f t="shared" si="4"/>
        <v>0.55000000000000004</v>
      </c>
      <c r="F51" s="1">
        <v>0</v>
      </c>
      <c r="G51" s="1">
        <f t="shared" si="5"/>
        <v>0.55000000000000004</v>
      </c>
    </row>
    <row r="52" spans="1:7" x14ac:dyDescent="0.2">
      <c r="A52" s="1" t="s">
        <v>61</v>
      </c>
      <c r="B52" s="3">
        <v>46934</v>
      </c>
      <c r="C52" s="1">
        <v>100</v>
      </c>
      <c r="D52" s="4">
        <v>0.06</v>
      </c>
      <c r="E52" s="5">
        <f t="shared" si="4"/>
        <v>0.5</v>
      </c>
      <c r="F52" s="1">
        <v>0</v>
      </c>
      <c r="G52" s="1">
        <f t="shared" si="5"/>
        <v>0.5</v>
      </c>
    </row>
    <row r="53" spans="1:7" x14ac:dyDescent="0.2">
      <c r="A53" s="1" t="s">
        <v>61</v>
      </c>
      <c r="B53" s="3">
        <v>46965</v>
      </c>
      <c r="C53" s="1">
        <v>100</v>
      </c>
      <c r="D53" s="4">
        <v>0.06</v>
      </c>
      <c r="E53" s="5">
        <f t="shared" si="4"/>
        <v>0.5</v>
      </c>
      <c r="F53" s="1">
        <v>0</v>
      </c>
      <c r="G53" s="1">
        <f t="shared" si="5"/>
        <v>0.5</v>
      </c>
    </row>
    <row r="54" spans="1:7" x14ac:dyDescent="0.2">
      <c r="A54" s="1" t="s">
        <v>61</v>
      </c>
      <c r="B54" s="3">
        <v>46996</v>
      </c>
      <c r="C54" s="1">
        <v>100</v>
      </c>
      <c r="D54" s="4">
        <v>0.06</v>
      </c>
      <c r="E54" s="5">
        <f t="shared" si="4"/>
        <v>0.5</v>
      </c>
      <c r="F54" s="1">
        <v>0</v>
      </c>
      <c r="G54" s="1">
        <f t="shared" si="5"/>
        <v>0.5</v>
      </c>
    </row>
    <row r="55" spans="1:7" x14ac:dyDescent="0.2">
      <c r="A55" s="1" t="s">
        <v>61</v>
      </c>
      <c r="B55" s="3">
        <v>47025</v>
      </c>
      <c r="C55" s="1">
        <v>100</v>
      </c>
      <c r="D55" s="4">
        <v>0.06</v>
      </c>
      <c r="E55" s="5">
        <f t="shared" si="4"/>
        <v>0.48333333333333334</v>
      </c>
      <c r="F55" s="1">
        <v>0</v>
      </c>
      <c r="G55" s="1">
        <f t="shared" si="5"/>
        <v>0.48333333333333334</v>
      </c>
    </row>
    <row r="56" spans="1:7" x14ac:dyDescent="0.2">
      <c r="A56" s="1" t="s">
        <v>61</v>
      </c>
      <c r="B56" s="3">
        <v>47057</v>
      </c>
      <c r="C56" s="1">
        <f>C55-F56</f>
        <v>0</v>
      </c>
      <c r="D56" s="4">
        <v>0.06</v>
      </c>
      <c r="E56" s="5">
        <f t="shared" si="4"/>
        <v>0.53333333333333333</v>
      </c>
      <c r="F56" s="1">
        <v>100</v>
      </c>
      <c r="G56" s="1">
        <f t="shared" si="5"/>
        <v>100.53333333333333</v>
      </c>
    </row>
    <row r="58" spans="1:7" x14ac:dyDescent="0.2">
      <c r="A58" s="2" t="s">
        <v>0</v>
      </c>
      <c r="B58" s="2" t="s">
        <v>10</v>
      </c>
      <c r="C58" s="2" t="s">
        <v>11</v>
      </c>
      <c r="D58" s="2" t="s">
        <v>14</v>
      </c>
      <c r="E58" s="2" t="s">
        <v>12</v>
      </c>
      <c r="F58" s="2" t="s">
        <v>13</v>
      </c>
      <c r="G58" s="2" t="s">
        <v>15</v>
      </c>
    </row>
    <row r="59" spans="1:7" x14ac:dyDescent="0.2">
      <c r="A59" s="1" t="s">
        <v>62</v>
      </c>
      <c r="B59" s="3">
        <v>44078</v>
      </c>
      <c r="C59" s="1">
        <v>100</v>
      </c>
      <c r="D59" s="1">
        <v>0</v>
      </c>
      <c r="E59" s="1">
        <v>0</v>
      </c>
      <c r="F59" s="1">
        <v>0</v>
      </c>
      <c r="G59" s="1">
        <f>F59+E59</f>
        <v>0</v>
      </c>
    </row>
    <row r="60" spans="1:7" x14ac:dyDescent="0.2">
      <c r="A60" s="1" t="s">
        <v>62</v>
      </c>
      <c r="B60" s="3">
        <v>44386</v>
      </c>
      <c r="C60" s="1">
        <v>100</v>
      </c>
      <c r="D60" s="4">
        <v>0.01</v>
      </c>
      <c r="E60" s="5">
        <f t="shared" ref="E60" si="6">((D60*C59)/360)*DAYS360(B59,B60)</f>
        <v>0.84722222222222221</v>
      </c>
      <c r="F60" s="1">
        <v>0</v>
      </c>
      <c r="G60" s="1">
        <f t="shared" ref="G60" si="7">F60+E60</f>
        <v>0.84722222222222221</v>
      </c>
    </row>
    <row r="61" spans="1:7" x14ac:dyDescent="0.2">
      <c r="A61" s="1" t="s">
        <v>62</v>
      </c>
      <c r="B61" s="3">
        <v>44570</v>
      </c>
      <c r="C61" s="1">
        <v>100</v>
      </c>
      <c r="D61" s="4">
        <v>0.01</v>
      </c>
      <c r="E61" s="5">
        <f t="shared" ref="E61:E70" si="8">((D61*C60)/360)*DAYS360(B60,B61)</f>
        <v>0.5</v>
      </c>
      <c r="F61" s="1">
        <v>0</v>
      </c>
      <c r="G61" s="1">
        <f t="shared" ref="G61:G70" si="9">F61+E61</f>
        <v>0.5</v>
      </c>
    </row>
    <row r="62" spans="1:7" x14ac:dyDescent="0.2">
      <c r="A62" s="1" t="s">
        <v>62</v>
      </c>
      <c r="B62" s="3">
        <v>44751</v>
      </c>
      <c r="C62" s="1">
        <v>100</v>
      </c>
      <c r="D62" s="4">
        <v>0.01</v>
      </c>
      <c r="E62" s="5">
        <f t="shared" si="8"/>
        <v>0.5</v>
      </c>
      <c r="F62" s="1">
        <v>0</v>
      </c>
      <c r="G62" s="1">
        <f t="shared" si="9"/>
        <v>0.5</v>
      </c>
    </row>
    <row r="63" spans="1:7" x14ac:dyDescent="0.2">
      <c r="A63" s="1" t="s">
        <v>62</v>
      </c>
      <c r="B63" s="3">
        <v>44935</v>
      </c>
      <c r="C63" s="1">
        <v>100</v>
      </c>
      <c r="D63" s="4">
        <v>0.01</v>
      </c>
      <c r="E63" s="5">
        <f t="shared" si="8"/>
        <v>0.5</v>
      </c>
      <c r="F63" s="1">
        <v>0</v>
      </c>
      <c r="G63" s="1">
        <f t="shared" si="9"/>
        <v>0.5</v>
      </c>
    </row>
    <row r="64" spans="1:7" x14ac:dyDescent="0.2">
      <c r="A64" s="1" t="s">
        <v>62</v>
      </c>
      <c r="B64" s="3">
        <v>45116</v>
      </c>
      <c r="C64" s="1">
        <v>100</v>
      </c>
      <c r="D64" s="4">
        <v>0.01</v>
      </c>
      <c r="E64" s="5">
        <f t="shared" si="8"/>
        <v>0.5</v>
      </c>
      <c r="F64" s="1">
        <v>0</v>
      </c>
      <c r="G64" s="1">
        <f t="shared" si="9"/>
        <v>0.5</v>
      </c>
    </row>
    <row r="65" spans="1:7" x14ac:dyDescent="0.2">
      <c r="A65" s="1" t="s">
        <v>62</v>
      </c>
      <c r="B65" s="3">
        <v>45300</v>
      </c>
      <c r="C65" s="1">
        <v>100</v>
      </c>
      <c r="D65" s="4">
        <v>0.01</v>
      </c>
      <c r="E65" s="5">
        <f t="shared" si="8"/>
        <v>0.5</v>
      </c>
      <c r="F65" s="1">
        <v>0</v>
      </c>
      <c r="G65" s="1">
        <f t="shared" si="9"/>
        <v>0.5</v>
      </c>
    </row>
    <row r="66" spans="1:7" x14ac:dyDescent="0.2">
      <c r="A66" s="1" t="s">
        <v>62</v>
      </c>
      <c r="B66" s="3">
        <v>45482</v>
      </c>
      <c r="C66" s="1">
        <v>100</v>
      </c>
      <c r="D66" s="4">
        <v>0.01</v>
      </c>
      <c r="E66" s="5">
        <f t="shared" si="8"/>
        <v>0.5</v>
      </c>
      <c r="F66" s="1">
        <v>0</v>
      </c>
      <c r="G66" s="1">
        <f t="shared" si="9"/>
        <v>0.5</v>
      </c>
    </row>
    <row r="67" spans="1:7" x14ac:dyDescent="0.2">
      <c r="A67" s="1" t="s">
        <v>62</v>
      </c>
      <c r="B67" s="3">
        <v>45666</v>
      </c>
      <c r="C67" s="1">
        <f>C66-F67</f>
        <v>90</v>
      </c>
      <c r="D67" s="4">
        <v>0.01</v>
      </c>
      <c r="E67" s="5">
        <f t="shared" si="8"/>
        <v>0.5</v>
      </c>
      <c r="F67" s="1">
        <v>10</v>
      </c>
      <c r="G67" s="1">
        <f t="shared" si="9"/>
        <v>10.5</v>
      </c>
    </row>
    <row r="68" spans="1:7" x14ac:dyDescent="0.2">
      <c r="A68" s="1" t="s">
        <v>62</v>
      </c>
      <c r="B68" s="3">
        <v>45847</v>
      </c>
      <c r="C68" s="1">
        <f t="shared" ref="C68:C76" si="10">C67-F68</f>
        <v>80</v>
      </c>
      <c r="D68" s="4">
        <v>0.01</v>
      </c>
      <c r="E68" s="5">
        <f t="shared" si="8"/>
        <v>0.45</v>
      </c>
      <c r="F68" s="1">
        <v>10</v>
      </c>
      <c r="G68" s="1">
        <f t="shared" si="9"/>
        <v>10.45</v>
      </c>
    </row>
    <row r="69" spans="1:7" x14ac:dyDescent="0.2">
      <c r="A69" s="1" t="s">
        <v>62</v>
      </c>
      <c r="B69" s="3">
        <v>46031</v>
      </c>
      <c r="C69" s="1">
        <f t="shared" si="10"/>
        <v>70</v>
      </c>
      <c r="D69" s="4">
        <v>0.01</v>
      </c>
      <c r="E69" s="5">
        <f t="shared" si="8"/>
        <v>0.4</v>
      </c>
      <c r="F69" s="1">
        <v>10</v>
      </c>
      <c r="G69" s="1">
        <f t="shared" si="9"/>
        <v>10.4</v>
      </c>
    </row>
    <row r="70" spans="1:7" x14ac:dyDescent="0.2">
      <c r="A70" s="1" t="s">
        <v>62</v>
      </c>
      <c r="B70" s="3">
        <v>46212</v>
      </c>
      <c r="C70" s="1">
        <f t="shared" si="10"/>
        <v>60</v>
      </c>
      <c r="D70" s="4">
        <v>0.01</v>
      </c>
      <c r="E70" s="5">
        <f t="shared" si="8"/>
        <v>0.35000000000000003</v>
      </c>
      <c r="F70" s="1">
        <v>10</v>
      </c>
      <c r="G70" s="1">
        <f t="shared" si="9"/>
        <v>10.35</v>
      </c>
    </row>
    <row r="71" spans="1:7" x14ac:dyDescent="0.2">
      <c r="A71" s="1" t="s">
        <v>62</v>
      </c>
      <c r="B71" s="3">
        <v>46396</v>
      </c>
      <c r="C71" s="1">
        <f t="shared" si="10"/>
        <v>50</v>
      </c>
      <c r="D71" s="4">
        <v>0.01</v>
      </c>
      <c r="E71" s="5">
        <f t="shared" ref="E71:E76" si="11">((D71*C70)/360)*DAYS360(B70,B71)</f>
        <v>0.3</v>
      </c>
      <c r="F71" s="1">
        <v>10</v>
      </c>
      <c r="G71" s="1">
        <f t="shared" ref="G71:G76" si="12">F71+E71</f>
        <v>10.3</v>
      </c>
    </row>
    <row r="72" spans="1:7" x14ac:dyDescent="0.2">
      <c r="A72" s="1" t="s">
        <v>62</v>
      </c>
      <c r="B72" s="3">
        <v>46577</v>
      </c>
      <c r="C72" s="1">
        <f t="shared" si="10"/>
        <v>40</v>
      </c>
      <c r="D72" s="4">
        <v>0.01</v>
      </c>
      <c r="E72" s="5">
        <f t="shared" si="11"/>
        <v>0.25</v>
      </c>
      <c r="F72" s="1">
        <v>10</v>
      </c>
      <c r="G72" s="1">
        <f t="shared" si="12"/>
        <v>10.25</v>
      </c>
    </row>
    <row r="73" spans="1:7" x14ac:dyDescent="0.2">
      <c r="A73" s="1" t="s">
        <v>62</v>
      </c>
      <c r="B73" s="3">
        <v>46761</v>
      </c>
      <c r="C73" s="1">
        <f t="shared" si="10"/>
        <v>30</v>
      </c>
      <c r="D73" s="4">
        <v>0.01</v>
      </c>
      <c r="E73" s="5">
        <f t="shared" si="11"/>
        <v>0.2</v>
      </c>
      <c r="F73" s="1">
        <v>10</v>
      </c>
      <c r="G73" s="1">
        <f t="shared" si="12"/>
        <v>10.199999999999999</v>
      </c>
    </row>
    <row r="74" spans="1:7" x14ac:dyDescent="0.2">
      <c r="A74" s="1" t="s">
        <v>62</v>
      </c>
      <c r="B74" s="3">
        <v>46943</v>
      </c>
      <c r="C74" s="1">
        <f t="shared" si="10"/>
        <v>20</v>
      </c>
      <c r="D74" s="4">
        <v>0.01</v>
      </c>
      <c r="E74" s="5">
        <f t="shared" si="11"/>
        <v>0.15</v>
      </c>
      <c r="F74" s="1">
        <v>10</v>
      </c>
      <c r="G74" s="1">
        <f t="shared" si="12"/>
        <v>10.15</v>
      </c>
    </row>
    <row r="75" spans="1:7" x14ac:dyDescent="0.2">
      <c r="A75" s="1" t="s">
        <v>62</v>
      </c>
      <c r="B75" s="3">
        <v>47127</v>
      </c>
      <c r="C75" s="1">
        <f t="shared" si="10"/>
        <v>10</v>
      </c>
      <c r="D75" s="4">
        <v>0.01</v>
      </c>
      <c r="E75" s="5">
        <f t="shared" si="11"/>
        <v>0.1</v>
      </c>
      <c r="F75" s="1">
        <v>10</v>
      </c>
      <c r="G75" s="1">
        <f t="shared" si="12"/>
        <v>10.1</v>
      </c>
    </row>
    <row r="76" spans="1:7" x14ac:dyDescent="0.2">
      <c r="A76" s="1" t="s">
        <v>62</v>
      </c>
      <c r="B76" s="3">
        <v>47308</v>
      </c>
      <c r="C76" s="1">
        <f t="shared" si="10"/>
        <v>0</v>
      </c>
      <c r="D76" s="4">
        <v>0.01</v>
      </c>
      <c r="E76" s="5">
        <f t="shared" si="11"/>
        <v>0.05</v>
      </c>
      <c r="F76" s="1">
        <v>10</v>
      </c>
      <c r="G76" s="1">
        <f t="shared" si="12"/>
        <v>10.050000000000001</v>
      </c>
    </row>
    <row r="78" spans="1:7" x14ac:dyDescent="0.2">
      <c r="A78" s="2" t="s">
        <v>0</v>
      </c>
      <c r="B78" s="2" t="s">
        <v>10</v>
      </c>
      <c r="C78" s="2" t="s">
        <v>11</v>
      </c>
      <c r="D78" s="2" t="s">
        <v>14</v>
      </c>
      <c r="E78" s="2" t="s">
        <v>12</v>
      </c>
      <c r="F78" s="2" t="s">
        <v>13</v>
      </c>
      <c r="G78" s="2" t="s">
        <v>15</v>
      </c>
    </row>
    <row r="79" spans="1:7" x14ac:dyDescent="0.2">
      <c r="A79" s="1" t="s">
        <v>65</v>
      </c>
      <c r="B79" s="3">
        <v>46003</v>
      </c>
      <c r="C79" s="1">
        <v>100</v>
      </c>
      <c r="D79" s="1">
        <v>0</v>
      </c>
      <c r="E79" s="1">
        <v>0</v>
      </c>
      <c r="F79" s="1">
        <v>0</v>
      </c>
      <c r="G79" s="1">
        <f>F79+E79</f>
        <v>0</v>
      </c>
    </row>
    <row r="80" spans="1:7" x14ac:dyDescent="0.2">
      <c r="A80" s="1" t="s">
        <v>65</v>
      </c>
      <c r="B80" s="3">
        <v>46172</v>
      </c>
      <c r="C80" s="1">
        <v>100</v>
      </c>
      <c r="D80" s="4">
        <v>6.5000000000000002E-2</v>
      </c>
      <c r="E80" s="5">
        <f t="shared" ref="E80" si="13">((D80*C79)/360)*DAYS360(B79,B80)</f>
        <v>3.0333333333333332</v>
      </c>
      <c r="F80" s="1">
        <v>0</v>
      </c>
      <c r="G80" s="1">
        <f t="shared" ref="G80" si="14">F80+E80</f>
        <v>3.0333333333333332</v>
      </c>
    </row>
    <row r="81" spans="1:7" x14ac:dyDescent="0.2">
      <c r="A81" s="1" t="s">
        <v>65</v>
      </c>
      <c r="B81" s="3">
        <v>46356</v>
      </c>
      <c r="C81" s="1">
        <v>100</v>
      </c>
      <c r="D81" s="4">
        <v>6.5000000000000002E-2</v>
      </c>
      <c r="E81" s="5">
        <f t="shared" ref="E81" si="15">((D81*C80)/360)*DAYS360(B80,B81)</f>
        <v>3.2499999999999996</v>
      </c>
      <c r="F81" s="1">
        <v>0</v>
      </c>
      <c r="G81" s="1">
        <f t="shared" ref="G81" si="16">F81+E81</f>
        <v>3.2499999999999996</v>
      </c>
    </row>
    <row r="82" spans="1:7" x14ac:dyDescent="0.2">
      <c r="A82" s="1" t="s">
        <v>65</v>
      </c>
      <c r="B82" s="3">
        <v>46537</v>
      </c>
      <c r="C82" s="1">
        <v>100</v>
      </c>
      <c r="D82" s="4">
        <v>6.5000000000000002E-2</v>
      </c>
      <c r="E82" s="5">
        <f t="shared" ref="E82:E87" si="17">((D82*C81)/360)*DAYS360(B81,B82)</f>
        <v>3.2499999999999996</v>
      </c>
      <c r="F82" s="1">
        <v>0</v>
      </c>
      <c r="G82" s="1">
        <f t="shared" ref="G82:G87" si="18">F82+E82</f>
        <v>3.2499999999999996</v>
      </c>
    </row>
    <row r="83" spans="1:7" x14ac:dyDescent="0.2">
      <c r="A83" s="1" t="s">
        <v>65</v>
      </c>
      <c r="B83" s="3">
        <v>46721</v>
      </c>
      <c r="C83" s="1">
        <v>100</v>
      </c>
      <c r="D83" s="4">
        <v>6.5000000000000002E-2</v>
      </c>
      <c r="E83" s="5">
        <f t="shared" si="17"/>
        <v>3.2499999999999996</v>
      </c>
      <c r="F83" s="1">
        <v>0</v>
      </c>
      <c r="G83" s="1">
        <f t="shared" si="18"/>
        <v>3.2499999999999996</v>
      </c>
    </row>
    <row r="84" spans="1:7" x14ac:dyDescent="0.2">
      <c r="A84" s="1" t="s">
        <v>65</v>
      </c>
      <c r="B84" s="3">
        <v>46903</v>
      </c>
      <c r="C84" s="1">
        <v>100</v>
      </c>
      <c r="D84" s="4">
        <v>6.5000000000000002E-2</v>
      </c>
      <c r="E84" s="5">
        <f t="shared" si="17"/>
        <v>3.2499999999999996</v>
      </c>
      <c r="F84" s="1">
        <v>0</v>
      </c>
      <c r="G84" s="1">
        <f t="shared" si="18"/>
        <v>3.2499999999999996</v>
      </c>
    </row>
    <row r="85" spans="1:7" x14ac:dyDescent="0.2">
      <c r="A85" s="1" t="s">
        <v>65</v>
      </c>
      <c r="B85" s="3">
        <v>47087</v>
      </c>
      <c r="C85" s="1">
        <v>100</v>
      </c>
      <c r="D85" s="4">
        <v>6.5000000000000002E-2</v>
      </c>
      <c r="E85" s="5">
        <f t="shared" si="17"/>
        <v>3.2499999999999996</v>
      </c>
      <c r="F85" s="1">
        <v>0</v>
      </c>
      <c r="G85" s="1">
        <f t="shared" si="18"/>
        <v>3.2499999999999996</v>
      </c>
    </row>
    <row r="86" spans="1:7" x14ac:dyDescent="0.2">
      <c r="A86" s="1" t="s">
        <v>65</v>
      </c>
      <c r="B86" s="3">
        <v>47268</v>
      </c>
      <c r="C86" s="1">
        <v>100</v>
      </c>
      <c r="D86" s="4">
        <v>6.5000000000000002E-2</v>
      </c>
      <c r="E86" s="5">
        <f t="shared" si="17"/>
        <v>3.2499999999999996</v>
      </c>
      <c r="F86" s="1">
        <v>0</v>
      </c>
      <c r="G86" s="1">
        <f t="shared" si="18"/>
        <v>3.2499999999999996</v>
      </c>
    </row>
    <row r="87" spans="1:7" x14ac:dyDescent="0.2">
      <c r="A87" s="1" t="s">
        <v>65</v>
      </c>
      <c r="B87" s="3">
        <v>47452</v>
      </c>
      <c r="C87" s="1">
        <f>C86-F87</f>
        <v>0</v>
      </c>
      <c r="D87" s="4">
        <v>6.5000000000000002E-2</v>
      </c>
      <c r="E87" s="5">
        <f t="shared" si="17"/>
        <v>3.2499999999999996</v>
      </c>
      <c r="F87" s="1">
        <v>100</v>
      </c>
      <c r="G87" s="1">
        <f t="shared" si="18"/>
        <v>103.25</v>
      </c>
    </row>
    <row r="89" spans="1:7" x14ac:dyDescent="0.2">
      <c r="A89" s="2" t="s">
        <v>0</v>
      </c>
      <c r="B89" s="2" t="s">
        <v>10</v>
      </c>
      <c r="C89" s="2" t="s">
        <v>11</v>
      </c>
      <c r="D89" s="2" t="s">
        <v>14</v>
      </c>
      <c r="E89" s="2" t="s">
        <v>12</v>
      </c>
      <c r="F89" s="2" t="s">
        <v>13</v>
      </c>
      <c r="G89" s="2" t="s">
        <v>15</v>
      </c>
    </row>
    <row r="90" spans="1:7" x14ac:dyDescent="0.2">
      <c r="A90" s="1" t="s">
        <v>63</v>
      </c>
      <c r="B90" s="3">
        <v>44078</v>
      </c>
      <c r="C90" s="1">
        <v>100</v>
      </c>
      <c r="D90" s="1">
        <v>0</v>
      </c>
      <c r="E90" s="1">
        <v>0</v>
      </c>
      <c r="F90" s="1">
        <v>0</v>
      </c>
      <c r="G90" s="1">
        <f>F90+E90</f>
        <v>0</v>
      </c>
    </row>
    <row r="91" spans="1:7" x14ac:dyDescent="0.2">
      <c r="A91" s="1" t="s">
        <v>63</v>
      </c>
      <c r="B91" s="3">
        <v>44386</v>
      </c>
      <c r="C91" s="1">
        <v>100</v>
      </c>
      <c r="D91" s="4">
        <v>1.25E-3</v>
      </c>
      <c r="E91" s="5">
        <f t="shared" ref="E91" si="19">((D91*C90)/360)*DAYS360(B90,B91)</f>
        <v>0.10590277777777778</v>
      </c>
      <c r="F91" s="1">
        <v>0</v>
      </c>
      <c r="G91" s="1">
        <f t="shared" ref="G91" si="20">F91+E91</f>
        <v>0.10590277777777778</v>
      </c>
    </row>
    <row r="92" spans="1:7" x14ac:dyDescent="0.2">
      <c r="A92" s="1" t="s">
        <v>63</v>
      </c>
      <c r="B92" s="3">
        <v>44570</v>
      </c>
      <c r="C92" s="1">
        <v>100</v>
      </c>
      <c r="D92" s="4">
        <v>5.0000000000000001E-3</v>
      </c>
      <c r="E92" s="5">
        <f t="shared" ref="E92:E103" si="21">((D92*C91)/360)*DAYS360(B91,B92)</f>
        <v>0.25</v>
      </c>
      <c r="F92" s="1">
        <v>0</v>
      </c>
      <c r="G92" s="1">
        <f t="shared" ref="G92:G103" si="22">F92+E92</f>
        <v>0.25</v>
      </c>
    </row>
    <row r="93" spans="1:7" x14ac:dyDescent="0.2">
      <c r="A93" s="1" t="s">
        <v>63</v>
      </c>
      <c r="B93" s="3">
        <v>44751</v>
      </c>
      <c r="C93" s="1">
        <v>100</v>
      </c>
      <c r="D93" s="4">
        <v>5.0000000000000001E-3</v>
      </c>
      <c r="E93" s="5">
        <f t="shared" si="21"/>
        <v>0.25</v>
      </c>
      <c r="F93" s="1">
        <v>0</v>
      </c>
      <c r="G93" s="1">
        <f t="shared" si="22"/>
        <v>0.25</v>
      </c>
    </row>
    <row r="94" spans="1:7" x14ac:dyDescent="0.2">
      <c r="A94" s="1" t="s">
        <v>63</v>
      </c>
      <c r="B94" s="3">
        <v>44935</v>
      </c>
      <c r="C94" s="1">
        <v>100</v>
      </c>
      <c r="D94" s="4">
        <v>5.0000000000000001E-3</v>
      </c>
      <c r="E94" s="5">
        <f t="shared" si="21"/>
        <v>0.25</v>
      </c>
      <c r="F94" s="1">
        <v>0</v>
      </c>
      <c r="G94" s="1">
        <f t="shared" si="22"/>
        <v>0.25</v>
      </c>
    </row>
    <row r="95" spans="1:7" x14ac:dyDescent="0.2">
      <c r="A95" s="1" t="s">
        <v>63</v>
      </c>
      <c r="B95" s="3">
        <v>45116</v>
      </c>
      <c r="C95" s="1">
        <v>100</v>
      </c>
      <c r="D95" s="4">
        <v>5.0000000000000001E-3</v>
      </c>
      <c r="E95" s="5">
        <f t="shared" si="21"/>
        <v>0.25</v>
      </c>
      <c r="F95" s="1">
        <v>0</v>
      </c>
      <c r="G95" s="1">
        <f t="shared" si="22"/>
        <v>0.25</v>
      </c>
    </row>
    <row r="96" spans="1:7" x14ac:dyDescent="0.2">
      <c r="A96" s="1" t="s">
        <v>63</v>
      </c>
      <c r="B96" s="3">
        <v>45300</v>
      </c>
      <c r="C96" s="1">
        <v>100</v>
      </c>
      <c r="D96" s="4">
        <v>7.4999999999999997E-3</v>
      </c>
      <c r="E96" s="5">
        <f t="shared" si="21"/>
        <v>0.375</v>
      </c>
      <c r="F96" s="1">
        <v>0</v>
      </c>
      <c r="G96" s="1">
        <f t="shared" si="22"/>
        <v>0.375</v>
      </c>
    </row>
    <row r="97" spans="1:7" x14ac:dyDescent="0.2">
      <c r="A97" s="1" t="s">
        <v>63</v>
      </c>
      <c r="B97" s="3">
        <v>45482</v>
      </c>
      <c r="C97" s="1">
        <f>C96-F97</f>
        <v>96</v>
      </c>
      <c r="D97" s="4">
        <v>7.4999999999999997E-3</v>
      </c>
      <c r="E97" s="5">
        <f t="shared" si="21"/>
        <v>0.375</v>
      </c>
      <c r="F97" s="1">
        <v>4</v>
      </c>
      <c r="G97" s="1">
        <f t="shared" si="22"/>
        <v>4.375</v>
      </c>
    </row>
    <row r="98" spans="1:7" x14ac:dyDescent="0.2">
      <c r="A98" s="1" t="s">
        <v>63</v>
      </c>
      <c r="B98" s="3">
        <v>45666</v>
      </c>
      <c r="C98" s="1">
        <f t="shared" ref="C98:C109" si="23">C97-F98</f>
        <v>88</v>
      </c>
      <c r="D98" s="4">
        <v>7.4999999999999997E-3</v>
      </c>
      <c r="E98" s="5">
        <f t="shared" si="21"/>
        <v>0.36</v>
      </c>
      <c r="F98" s="1">
        <v>8</v>
      </c>
      <c r="G98" s="1">
        <f t="shared" si="22"/>
        <v>8.36</v>
      </c>
    </row>
    <row r="99" spans="1:7" x14ac:dyDescent="0.2">
      <c r="A99" s="1" t="s">
        <v>63</v>
      </c>
      <c r="B99" s="3">
        <v>45847</v>
      </c>
      <c r="C99" s="1">
        <f t="shared" si="23"/>
        <v>80</v>
      </c>
      <c r="D99" s="4">
        <v>7.4999999999999997E-3</v>
      </c>
      <c r="E99" s="5">
        <f t="shared" si="21"/>
        <v>0.32999999999999996</v>
      </c>
      <c r="F99" s="1">
        <v>8</v>
      </c>
      <c r="G99" s="1">
        <f t="shared" si="22"/>
        <v>8.33</v>
      </c>
    </row>
    <row r="100" spans="1:7" x14ac:dyDescent="0.2">
      <c r="A100" s="1" t="s">
        <v>63</v>
      </c>
      <c r="B100" s="3">
        <v>46031</v>
      </c>
      <c r="C100" s="1">
        <f t="shared" si="23"/>
        <v>72</v>
      </c>
      <c r="D100" s="4">
        <v>7.4999999999999997E-3</v>
      </c>
      <c r="E100" s="5">
        <f t="shared" si="21"/>
        <v>0.3</v>
      </c>
      <c r="F100" s="1">
        <v>8</v>
      </c>
      <c r="G100" s="1">
        <f t="shared" si="22"/>
        <v>8.3000000000000007</v>
      </c>
    </row>
    <row r="101" spans="1:7" x14ac:dyDescent="0.2">
      <c r="A101" s="1" t="s">
        <v>63</v>
      </c>
      <c r="B101" s="3">
        <v>46212</v>
      </c>
      <c r="C101" s="1">
        <f t="shared" si="23"/>
        <v>64</v>
      </c>
      <c r="D101" s="4">
        <v>7.4999999999999997E-3</v>
      </c>
      <c r="E101" s="5">
        <f t="shared" si="21"/>
        <v>0.27</v>
      </c>
      <c r="F101" s="1">
        <v>8</v>
      </c>
      <c r="G101" s="1">
        <f t="shared" si="22"/>
        <v>8.27</v>
      </c>
    </row>
    <row r="102" spans="1:7" x14ac:dyDescent="0.2">
      <c r="A102" s="1" t="s">
        <v>63</v>
      </c>
      <c r="B102" s="3">
        <v>46396</v>
      </c>
      <c r="C102" s="1">
        <f t="shared" si="23"/>
        <v>56</v>
      </c>
      <c r="D102" s="4">
        <v>7.4999999999999997E-3</v>
      </c>
      <c r="E102" s="5">
        <f t="shared" si="21"/>
        <v>0.24</v>
      </c>
      <c r="F102" s="1">
        <v>8</v>
      </c>
      <c r="G102" s="1">
        <f t="shared" si="22"/>
        <v>8.24</v>
      </c>
    </row>
    <row r="103" spans="1:7" x14ac:dyDescent="0.2">
      <c r="A103" s="1" t="s">
        <v>63</v>
      </c>
      <c r="B103" s="3">
        <v>46577</v>
      </c>
      <c r="C103" s="1">
        <f t="shared" si="23"/>
        <v>48</v>
      </c>
      <c r="D103" s="4">
        <v>7.4999999999999997E-3</v>
      </c>
      <c r="E103" s="5">
        <f t="shared" si="21"/>
        <v>0.20999999999999996</v>
      </c>
      <c r="F103" s="1">
        <v>8</v>
      </c>
      <c r="G103" s="1">
        <f t="shared" si="22"/>
        <v>8.2100000000000009</v>
      </c>
    </row>
    <row r="104" spans="1:7" x14ac:dyDescent="0.2">
      <c r="A104" s="1" t="s">
        <v>63</v>
      </c>
      <c r="B104" s="3">
        <v>46761</v>
      </c>
      <c r="C104" s="1">
        <f t="shared" si="23"/>
        <v>40</v>
      </c>
      <c r="D104" s="4">
        <v>1.7500000000000002E-2</v>
      </c>
      <c r="E104" s="5">
        <f t="shared" ref="E104:E109" si="24">((D104*C103)/360)*DAYS360(B103,B104)</f>
        <v>0.42000000000000004</v>
      </c>
      <c r="F104" s="1">
        <v>8</v>
      </c>
      <c r="G104" s="1">
        <f t="shared" ref="G104:G109" si="25">F104+E104</f>
        <v>8.42</v>
      </c>
    </row>
    <row r="105" spans="1:7" x14ac:dyDescent="0.2">
      <c r="A105" s="1" t="s">
        <v>63</v>
      </c>
      <c r="B105" s="3">
        <v>46943</v>
      </c>
      <c r="C105" s="1">
        <f t="shared" si="23"/>
        <v>32</v>
      </c>
      <c r="D105" s="4">
        <v>1.7500000000000002E-2</v>
      </c>
      <c r="E105" s="5">
        <f t="shared" si="24"/>
        <v>0.35000000000000003</v>
      </c>
      <c r="F105" s="1">
        <v>8</v>
      </c>
      <c r="G105" s="1">
        <f t="shared" si="25"/>
        <v>8.35</v>
      </c>
    </row>
    <row r="106" spans="1:7" x14ac:dyDescent="0.2">
      <c r="A106" s="1" t="s">
        <v>63</v>
      </c>
      <c r="B106" s="3">
        <v>47127</v>
      </c>
      <c r="C106" s="1">
        <f t="shared" si="23"/>
        <v>24</v>
      </c>
      <c r="D106" s="4">
        <v>1.7500000000000002E-2</v>
      </c>
      <c r="E106" s="5">
        <f t="shared" si="24"/>
        <v>0.28000000000000003</v>
      </c>
      <c r="F106" s="1">
        <v>8</v>
      </c>
      <c r="G106" s="1">
        <f t="shared" si="25"/>
        <v>8.2799999999999994</v>
      </c>
    </row>
    <row r="107" spans="1:7" x14ac:dyDescent="0.2">
      <c r="A107" s="1" t="s">
        <v>63</v>
      </c>
      <c r="B107" s="3">
        <v>47308</v>
      </c>
      <c r="C107" s="1">
        <f t="shared" si="23"/>
        <v>16</v>
      </c>
      <c r="D107" s="4">
        <v>1.7500000000000002E-2</v>
      </c>
      <c r="E107" s="5">
        <f t="shared" si="24"/>
        <v>0.21000000000000002</v>
      </c>
      <c r="F107" s="1">
        <v>8</v>
      </c>
      <c r="G107" s="1">
        <f t="shared" si="25"/>
        <v>8.2100000000000009</v>
      </c>
    </row>
    <row r="108" spans="1:7" x14ac:dyDescent="0.2">
      <c r="A108" s="1" t="s">
        <v>63</v>
      </c>
      <c r="B108" s="3">
        <v>47492</v>
      </c>
      <c r="C108" s="1">
        <f t="shared" si="23"/>
        <v>8</v>
      </c>
      <c r="D108" s="4">
        <v>1.7500000000000002E-2</v>
      </c>
      <c r="E108" s="5">
        <f t="shared" si="24"/>
        <v>0.14000000000000001</v>
      </c>
      <c r="F108" s="1">
        <v>8</v>
      </c>
      <c r="G108" s="1">
        <f t="shared" si="25"/>
        <v>8.14</v>
      </c>
    </row>
    <row r="109" spans="1:7" x14ac:dyDescent="0.2">
      <c r="A109" s="1" t="s">
        <v>63</v>
      </c>
      <c r="B109" s="3">
        <v>47673</v>
      </c>
      <c r="C109" s="1">
        <f t="shared" si="23"/>
        <v>0</v>
      </c>
      <c r="D109" s="4">
        <v>1.7500000000000002E-2</v>
      </c>
      <c r="E109" s="5">
        <f t="shared" si="24"/>
        <v>7.0000000000000007E-2</v>
      </c>
      <c r="F109" s="1">
        <v>8</v>
      </c>
      <c r="G109" s="1">
        <f t="shared" si="25"/>
        <v>8.07</v>
      </c>
    </row>
    <row r="111" spans="1:7" x14ac:dyDescent="0.2">
      <c r="A111" s="2" t="s">
        <v>0</v>
      </c>
      <c r="B111" s="2" t="s">
        <v>10</v>
      </c>
      <c r="C111" s="2" t="s">
        <v>11</v>
      </c>
      <c r="D111" s="2" t="s">
        <v>14</v>
      </c>
      <c r="E111" s="2" t="s">
        <v>12</v>
      </c>
      <c r="F111" s="2" t="s">
        <v>13</v>
      </c>
      <c r="G111" s="2" t="s">
        <v>15</v>
      </c>
    </row>
    <row r="112" spans="1:7" x14ac:dyDescent="0.2">
      <c r="A112" s="1" t="s">
        <v>64</v>
      </c>
      <c r="B112" s="3">
        <v>44078</v>
      </c>
      <c r="C112" s="1">
        <v>100</v>
      </c>
      <c r="D112" s="1">
        <v>0</v>
      </c>
      <c r="E112" s="1">
        <v>0</v>
      </c>
      <c r="F112" s="1">
        <v>0</v>
      </c>
      <c r="G112" s="1">
        <f>F112+E112</f>
        <v>0</v>
      </c>
    </row>
    <row r="113" spans="1:7" x14ac:dyDescent="0.2">
      <c r="A113" s="1" t="s">
        <v>64</v>
      </c>
      <c r="B113" s="3">
        <v>44386</v>
      </c>
      <c r="C113" s="1">
        <v>100</v>
      </c>
      <c r="D113" s="4">
        <v>1.25E-3</v>
      </c>
      <c r="E113" s="5">
        <f t="shared" ref="E113:E117" si="26">((D113*C112)/360)*DAYS360(B112,B113)</f>
        <v>0.10590277777777778</v>
      </c>
      <c r="F113" s="1">
        <v>0</v>
      </c>
      <c r="G113" s="1">
        <f t="shared" ref="G113:G117" si="27">F113+E113</f>
        <v>0.10590277777777778</v>
      </c>
    </row>
    <row r="114" spans="1:7" x14ac:dyDescent="0.2">
      <c r="A114" s="1" t="s">
        <v>64</v>
      </c>
      <c r="B114" s="3">
        <v>44570</v>
      </c>
      <c r="C114" s="1">
        <v>100</v>
      </c>
      <c r="D114" s="4">
        <v>1.125E-2</v>
      </c>
      <c r="E114" s="5">
        <f t="shared" si="26"/>
        <v>0.5625</v>
      </c>
      <c r="F114" s="1">
        <v>0</v>
      </c>
      <c r="G114" s="1">
        <f t="shared" si="27"/>
        <v>0.5625</v>
      </c>
    </row>
    <row r="115" spans="1:7" x14ac:dyDescent="0.2">
      <c r="A115" s="1" t="s">
        <v>64</v>
      </c>
      <c r="B115" s="3">
        <v>44751</v>
      </c>
      <c r="C115" s="1">
        <v>100</v>
      </c>
      <c r="D115" s="4">
        <v>1.125E-2</v>
      </c>
      <c r="E115" s="5">
        <f t="shared" si="26"/>
        <v>0.5625</v>
      </c>
      <c r="F115" s="1">
        <v>0</v>
      </c>
      <c r="G115" s="1">
        <f t="shared" si="27"/>
        <v>0.5625</v>
      </c>
    </row>
    <row r="116" spans="1:7" x14ac:dyDescent="0.2">
      <c r="A116" s="1" t="s">
        <v>64</v>
      </c>
      <c r="B116" s="3">
        <v>44935</v>
      </c>
      <c r="C116" s="1">
        <v>100</v>
      </c>
      <c r="D116" s="4">
        <v>1.4999999999999999E-2</v>
      </c>
      <c r="E116" s="5">
        <f t="shared" si="26"/>
        <v>0.75</v>
      </c>
      <c r="F116" s="1">
        <v>0</v>
      </c>
      <c r="G116" s="1">
        <f t="shared" si="27"/>
        <v>0.75</v>
      </c>
    </row>
    <row r="117" spans="1:7" x14ac:dyDescent="0.2">
      <c r="A117" s="1" t="s">
        <v>64</v>
      </c>
      <c r="B117" s="3">
        <v>45116</v>
      </c>
      <c r="C117" s="1">
        <v>100</v>
      </c>
      <c r="D117" s="4">
        <v>1.4999999999999999E-2</v>
      </c>
      <c r="E117" s="5">
        <f t="shared" si="26"/>
        <v>0.75</v>
      </c>
      <c r="F117" s="1">
        <v>0</v>
      </c>
      <c r="G117" s="1">
        <f t="shared" si="27"/>
        <v>0.75</v>
      </c>
    </row>
    <row r="118" spans="1:7" x14ac:dyDescent="0.2">
      <c r="A118" s="1" t="s">
        <v>64</v>
      </c>
      <c r="B118" s="3">
        <v>45300</v>
      </c>
      <c r="C118" s="1">
        <v>100</v>
      </c>
      <c r="D118" s="4">
        <v>3.6249999999999998E-2</v>
      </c>
      <c r="E118" s="5">
        <f t="shared" ref="E118:E128" si="28">((D118*C117)/360)*DAYS360(B117,B118)</f>
        <v>1.8124999999999998</v>
      </c>
      <c r="F118" s="1">
        <v>0</v>
      </c>
      <c r="G118" s="1">
        <f t="shared" ref="G118:G128" si="29">F118+E118</f>
        <v>1.8124999999999998</v>
      </c>
    </row>
    <row r="119" spans="1:7" x14ac:dyDescent="0.2">
      <c r="A119" s="1" t="s">
        <v>64</v>
      </c>
      <c r="B119" s="3">
        <v>45482</v>
      </c>
      <c r="C119" s="1">
        <v>100</v>
      </c>
      <c r="D119" s="4">
        <v>3.6249999999999998E-2</v>
      </c>
      <c r="E119" s="5">
        <f t="shared" si="28"/>
        <v>1.8124999999999998</v>
      </c>
      <c r="F119" s="1">
        <v>0</v>
      </c>
      <c r="G119" s="1">
        <f t="shared" si="29"/>
        <v>1.8124999999999998</v>
      </c>
    </row>
    <row r="120" spans="1:7" x14ac:dyDescent="0.2">
      <c r="A120" s="1" t="s">
        <v>64</v>
      </c>
      <c r="B120" s="3">
        <v>45666</v>
      </c>
      <c r="C120" s="1">
        <v>100</v>
      </c>
      <c r="D120" s="4">
        <v>4.1250000000000002E-2</v>
      </c>
      <c r="E120" s="5">
        <f t="shared" si="28"/>
        <v>2.0625</v>
      </c>
      <c r="F120" s="1">
        <v>0</v>
      </c>
      <c r="G120" s="1">
        <f t="shared" si="29"/>
        <v>2.0625</v>
      </c>
    </row>
    <row r="121" spans="1:7" x14ac:dyDescent="0.2">
      <c r="A121" s="1" t="s">
        <v>64</v>
      </c>
      <c r="B121" s="3">
        <v>45847</v>
      </c>
      <c r="C121" s="1">
        <v>100</v>
      </c>
      <c r="D121" s="4">
        <v>4.1250000000000002E-2</v>
      </c>
      <c r="E121" s="5">
        <f t="shared" si="28"/>
        <v>2.0625</v>
      </c>
      <c r="F121" s="1">
        <v>0</v>
      </c>
      <c r="G121" s="1">
        <f t="shared" si="29"/>
        <v>2.0625</v>
      </c>
    </row>
    <row r="122" spans="1:7" x14ac:dyDescent="0.2">
      <c r="A122" s="1" t="s">
        <v>64</v>
      </c>
      <c r="B122" s="3">
        <v>46031</v>
      </c>
      <c r="C122" s="1">
        <v>100</v>
      </c>
      <c r="D122" s="4">
        <v>4.1250000000000002E-2</v>
      </c>
      <c r="E122" s="5">
        <f t="shared" si="28"/>
        <v>2.0625</v>
      </c>
      <c r="F122" s="1">
        <v>0</v>
      </c>
      <c r="G122" s="1">
        <f t="shared" si="29"/>
        <v>2.0625</v>
      </c>
    </row>
    <row r="123" spans="1:7" x14ac:dyDescent="0.2">
      <c r="A123" s="1" t="s">
        <v>64</v>
      </c>
      <c r="B123" s="3">
        <v>46212</v>
      </c>
      <c r="C123" s="1">
        <v>100</v>
      </c>
      <c r="D123" s="4">
        <v>4.1250000000000002E-2</v>
      </c>
      <c r="E123" s="5">
        <f t="shared" si="28"/>
        <v>2.0625</v>
      </c>
      <c r="F123" s="1">
        <v>0</v>
      </c>
      <c r="G123" s="1">
        <f t="shared" si="29"/>
        <v>2.0625</v>
      </c>
    </row>
    <row r="124" spans="1:7" x14ac:dyDescent="0.2">
      <c r="A124" s="1" t="s">
        <v>64</v>
      </c>
      <c r="B124" s="3">
        <v>46396</v>
      </c>
      <c r="C124" s="1">
        <v>100</v>
      </c>
      <c r="D124" s="4">
        <v>4.1250000000000002E-2</v>
      </c>
      <c r="E124" s="5">
        <f t="shared" si="28"/>
        <v>2.0625</v>
      </c>
      <c r="F124" s="1">
        <v>0</v>
      </c>
      <c r="G124" s="1">
        <f t="shared" si="29"/>
        <v>2.0625</v>
      </c>
    </row>
    <row r="125" spans="1:7" x14ac:dyDescent="0.2">
      <c r="A125" s="1" t="s">
        <v>64</v>
      </c>
      <c r="B125" s="3">
        <v>46577</v>
      </c>
      <c r="C125" s="1">
        <v>100</v>
      </c>
      <c r="D125" s="4">
        <v>4.1250000000000002E-2</v>
      </c>
      <c r="E125" s="5">
        <f t="shared" si="28"/>
        <v>2.0625</v>
      </c>
      <c r="F125" s="1">
        <v>0</v>
      </c>
      <c r="G125" s="1">
        <f t="shared" si="29"/>
        <v>2.0625</v>
      </c>
    </row>
    <row r="126" spans="1:7" x14ac:dyDescent="0.2">
      <c r="A126" s="1" t="s">
        <v>64</v>
      </c>
      <c r="B126" s="3">
        <v>46761</v>
      </c>
      <c r="C126" s="1">
        <v>100</v>
      </c>
      <c r="D126" s="4">
        <v>4.7500000000000001E-2</v>
      </c>
      <c r="E126" s="5">
        <f t="shared" si="28"/>
        <v>2.375</v>
      </c>
      <c r="F126" s="1">
        <v>0</v>
      </c>
      <c r="G126" s="1">
        <f t="shared" si="29"/>
        <v>2.375</v>
      </c>
    </row>
    <row r="127" spans="1:7" x14ac:dyDescent="0.2">
      <c r="A127" s="1" t="s">
        <v>64</v>
      </c>
      <c r="B127" s="3">
        <v>46943</v>
      </c>
      <c r="C127" s="1">
        <v>100</v>
      </c>
      <c r="D127" s="4">
        <v>4.7500000000000001E-2</v>
      </c>
      <c r="E127" s="5">
        <f t="shared" si="28"/>
        <v>2.375</v>
      </c>
      <c r="F127" s="1">
        <v>0</v>
      </c>
      <c r="G127" s="1">
        <f t="shared" si="29"/>
        <v>2.375</v>
      </c>
    </row>
    <row r="128" spans="1:7" x14ac:dyDescent="0.2">
      <c r="A128" s="1" t="s">
        <v>64</v>
      </c>
      <c r="B128" s="3">
        <v>47127</v>
      </c>
      <c r="C128" s="1">
        <v>100</v>
      </c>
      <c r="D128" s="4">
        <v>0.05</v>
      </c>
      <c r="E128" s="5">
        <f t="shared" si="28"/>
        <v>2.5</v>
      </c>
      <c r="F128" s="1">
        <v>0</v>
      </c>
      <c r="G128" s="1">
        <f t="shared" si="29"/>
        <v>2.5</v>
      </c>
    </row>
    <row r="129" spans="1:7" x14ac:dyDescent="0.2">
      <c r="A129" s="1" t="s">
        <v>64</v>
      </c>
      <c r="B129" s="3">
        <v>47308</v>
      </c>
      <c r="C129" s="1">
        <v>100</v>
      </c>
      <c r="D129" s="4">
        <v>0.05</v>
      </c>
      <c r="E129" s="5">
        <f t="shared" ref="E129:E141" si="30">((D129*C128)/360)*DAYS360(B128,B129)</f>
        <v>2.5</v>
      </c>
      <c r="F129" s="1">
        <v>0</v>
      </c>
      <c r="G129" s="1">
        <f t="shared" ref="G129:G141" si="31">F129+E129</f>
        <v>2.5</v>
      </c>
    </row>
    <row r="130" spans="1:7" x14ac:dyDescent="0.2">
      <c r="A130" s="1" t="s">
        <v>64</v>
      </c>
      <c r="B130" s="3">
        <v>47492</v>
      </c>
      <c r="C130" s="1">
        <v>100</v>
      </c>
      <c r="D130" s="4">
        <v>0.05</v>
      </c>
      <c r="E130" s="5">
        <f t="shared" si="30"/>
        <v>2.5</v>
      </c>
      <c r="F130" s="1">
        <v>0</v>
      </c>
      <c r="G130" s="1">
        <f t="shared" si="31"/>
        <v>2.5</v>
      </c>
    </row>
    <row r="131" spans="1:7" x14ac:dyDescent="0.2">
      <c r="A131" s="1" t="s">
        <v>64</v>
      </c>
      <c r="B131" s="3">
        <v>47673</v>
      </c>
      <c r="C131" s="1">
        <v>100</v>
      </c>
      <c r="D131" s="4">
        <v>0.05</v>
      </c>
      <c r="E131" s="5">
        <f t="shared" si="30"/>
        <v>2.5</v>
      </c>
      <c r="F131" s="1">
        <v>0</v>
      </c>
      <c r="G131" s="1">
        <f t="shared" si="31"/>
        <v>2.5</v>
      </c>
    </row>
    <row r="132" spans="1:7" x14ac:dyDescent="0.2">
      <c r="A132" s="1" t="s">
        <v>64</v>
      </c>
      <c r="B132" s="3">
        <v>47857</v>
      </c>
      <c r="C132" s="1">
        <f>C131-F132</f>
        <v>90</v>
      </c>
      <c r="D132" s="4">
        <v>0.05</v>
      </c>
      <c r="E132" s="5">
        <f t="shared" si="30"/>
        <v>2.5</v>
      </c>
      <c r="F132" s="1">
        <v>10</v>
      </c>
      <c r="G132" s="1">
        <f t="shared" si="31"/>
        <v>12.5</v>
      </c>
    </row>
    <row r="133" spans="1:7" x14ac:dyDescent="0.2">
      <c r="A133" s="1" t="s">
        <v>64</v>
      </c>
      <c r="B133" s="3">
        <v>48038</v>
      </c>
      <c r="C133" s="1">
        <f t="shared" ref="C133:C141" si="32">C132-F133</f>
        <v>80</v>
      </c>
      <c r="D133" s="4">
        <v>0.05</v>
      </c>
      <c r="E133" s="5">
        <f t="shared" si="30"/>
        <v>2.25</v>
      </c>
      <c r="F133" s="1">
        <v>10</v>
      </c>
      <c r="G133" s="1">
        <f t="shared" si="31"/>
        <v>12.25</v>
      </c>
    </row>
    <row r="134" spans="1:7" x14ac:dyDescent="0.2">
      <c r="A134" s="1" t="s">
        <v>64</v>
      </c>
      <c r="B134" s="3">
        <v>48222</v>
      </c>
      <c r="C134" s="1">
        <f t="shared" si="32"/>
        <v>70</v>
      </c>
      <c r="D134" s="4">
        <v>0.05</v>
      </c>
      <c r="E134" s="5">
        <f t="shared" si="30"/>
        <v>2</v>
      </c>
      <c r="F134" s="1">
        <v>10</v>
      </c>
      <c r="G134" s="1">
        <f t="shared" si="31"/>
        <v>12</v>
      </c>
    </row>
    <row r="135" spans="1:7" x14ac:dyDescent="0.2">
      <c r="A135" s="1" t="s">
        <v>64</v>
      </c>
      <c r="B135" s="3">
        <v>48404</v>
      </c>
      <c r="C135" s="1">
        <f t="shared" si="32"/>
        <v>60</v>
      </c>
      <c r="D135" s="4">
        <v>0.05</v>
      </c>
      <c r="E135" s="5">
        <f t="shared" si="30"/>
        <v>1.75</v>
      </c>
      <c r="F135" s="1">
        <v>10</v>
      </c>
      <c r="G135" s="1">
        <f t="shared" si="31"/>
        <v>11.75</v>
      </c>
    </row>
    <row r="136" spans="1:7" x14ac:dyDescent="0.2">
      <c r="A136" s="1" t="s">
        <v>64</v>
      </c>
      <c r="B136" s="3">
        <v>48588</v>
      </c>
      <c r="C136" s="1">
        <f t="shared" si="32"/>
        <v>50</v>
      </c>
      <c r="D136" s="4">
        <v>0.05</v>
      </c>
      <c r="E136" s="5">
        <f t="shared" si="30"/>
        <v>1.5</v>
      </c>
      <c r="F136" s="1">
        <v>10</v>
      </c>
      <c r="G136" s="1">
        <f t="shared" si="31"/>
        <v>11.5</v>
      </c>
    </row>
    <row r="137" spans="1:7" x14ac:dyDescent="0.2">
      <c r="A137" s="1" t="s">
        <v>64</v>
      </c>
      <c r="B137" s="3">
        <v>48769</v>
      </c>
      <c r="C137" s="1">
        <f t="shared" si="32"/>
        <v>40</v>
      </c>
      <c r="D137" s="4">
        <v>0.05</v>
      </c>
      <c r="E137" s="5">
        <f t="shared" si="30"/>
        <v>1.25</v>
      </c>
      <c r="F137" s="1">
        <v>10</v>
      </c>
      <c r="G137" s="1">
        <f t="shared" si="31"/>
        <v>11.25</v>
      </c>
    </row>
    <row r="138" spans="1:7" x14ac:dyDescent="0.2">
      <c r="A138" s="1" t="s">
        <v>64</v>
      </c>
      <c r="B138" s="3">
        <v>48953</v>
      </c>
      <c r="C138" s="1">
        <f t="shared" si="32"/>
        <v>30</v>
      </c>
      <c r="D138" s="4">
        <v>0.05</v>
      </c>
      <c r="E138" s="5">
        <f t="shared" si="30"/>
        <v>1</v>
      </c>
      <c r="F138" s="1">
        <v>10</v>
      </c>
      <c r="G138" s="1">
        <f t="shared" si="31"/>
        <v>11</v>
      </c>
    </row>
    <row r="139" spans="1:7" x14ac:dyDescent="0.2">
      <c r="A139" s="1" t="s">
        <v>64</v>
      </c>
      <c r="B139" s="3">
        <v>49134</v>
      </c>
      <c r="C139" s="1">
        <f t="shared" si="32"/>
        <v>20</v>
      </c>
      <c r="D139" s="4">
        <v>0.05</v>
      </c>
      <c r="E139" s="5">
        <f t="shared" si="30"/>
        <v>0.75</v>
      </c>
      <c r="F139" s="1">
        <v>10</v>
      </c>
      <c r="G139" s="1">
        <f t="shared" si="31"/>
        <v>10.75</v>
      </c>
    </row>
    <row r="140" spans="1:7" x14ac:dyDescent="0.2">
      <c r="A140" s="1" t="s">
        <v>64</v>
      </c>
      <c r="B140" s="3">
        <v>49318</v>
      </c>
      <c r="C140" s="1">
        <f t="shared" si="32"/>
        <v>10</v>
      </c>
      <c r="D140" s="4">
        <v>0.05</v>
      </c>
      <c r="E140" s="5">
        <f t="shared" si="30"/>
        <v>0.5</v>
      </c>
      <c r="F140" s="1">
        <v>10</v>
      </c>
      <c r="G140" s="1">
        <f t="shared" si="31"/>
        <v>10.5</v>
      </c>
    </row>
    <row r="141" spans="1:7" x14ac:dyDescent="0.2">
      <c r="A141" s="1" t="s">
        <v>64</v>
      </c>
      <c r="B141" s="3">
        <v>49499</v>
      </c>
      <c r="C141" s="1">
        <f t="shared" si="32"/>
        <v>0</v>
      </c>
      <c r="D141" s="4">
        <v>0.05</v>
      </c>
      <c r="E141" s="5">
        <f t="shared" si="30"/>
        <v>0.25</v>
      </c>
      <c r="F141" s="1">
        <v>10</v>
      </c>
      <c r="G141" s="1">
        <f t="shared" si="31"/>
        <v>10.25</v>
      </c>
    </row>
    <row r="142" spans="1:7" x14ac:dyDescent="0.2">
      <c r="A142" s="1"/>
      <c r="B142" s="3"/>
      <c r="C142" s="1"/>
      <c r="D142" s="4"/>
      <c r="E142" s="5"/>
      <c r="F142" s="1"/>
      <c r="G142" s="1"/>
    </row>
    <row r="143" spans="1:7" x14ac:dyDescent="0.2">
      <c r="A143" s="2" t="s">
        <v>0</v>
      </c>
      <c r="B143" s="2" t="s">
        <v>10</v>
      </c>
      <c r="C143" s="2" t="s">
        <v>11</v>
      </c>
      <c r="D143" s="2" t="s">
        <v>14</v>
      </c>
      <c r="E143" s="2" t="s">
        <v>12</v>
      </c>
      <c r="F143" s="2" t="s">
        <v>13</v>
      </c>
      <c r="G143" s="2" t="s">
        <v>15</v>
      </c>
    </row>
    <row r="144" spans="1:7" x14ac:dyDescent="0.2">
      <c r="A144" s="1" t="s">
        <v>67</v>
      </c>
      <c r="B144" s="3">
        <v>44078</v>
      </c>
      <c r="C144" s="1">
        <v>100</v>
      </c>
      <c r="D144" s="1">
        <v>0</v>
      </c>
      <c r="E144" s="1">
        <v>0</v>
      </c>
      <c r="F144" s="1">
        <v>0</v>
      </c>
      <c r="G144" s="1">
        <f>F144+E144</f>
        <v>0</v>
      </c>
    </row>
    <row r="145" spans="1:10" x14ac:dyDescent="0.2">
      <c r="A145" s="1" t="s">
        <v>67</v>
      </c>
      <c r="B145" s="3">
        <v>44386</v>
      </c>
      <c r="C145" s="1">
        <v>100</v>
      </c>
      <c r="D145" s="4">
        <v>1.25E-3</v>
      </c>
      <c r="E145" s="5">
        <f t="shared" ref="E145:E155" si="33">((D145*C144)/360)*DAYS360(B144,B145)</f>
        <v>0.10590277777777778</v>
      </c>
      <c r="F145" s="1">
        <v>0</v>
      </c>
      <c r="G145" s="1">
        <f t="shared" ref="G145:G155" si="34">F145+E145</f>
        <v>0.10590277777777778</v>
      </c>
    </row>
    <row r="146" spans="1:10" x14ac:dyDescent="0.2">
      <c r="A146" s="1" t="s">
        <v>67</v>
      </c>
      <c r="B146" s="3">
        <v>44570</v>
      </c>
      <c r="C146" s="1">
        <v>100</v>
      </c>
      <c r="D146" s="4">
        <v>0.02</v>
      </c>
      <c r="E146" s="5">
        <f t="shared" si="33"/>
        <v>1</v>
      </c>
      <c r="F146" s="1">
        <v>0</v>
      </c>
      <c r="G146" s="1">
        <f t="shared" si="34"/>
        <v>1</v>
      </c>
    </row>
    <row r="147" spans="1:10" x14ac:dyDescent="0.2">
      <c r="A147" s="1" t="s">
        <v>67</v>
      </c>
      <c r="B147" s="3">
        <v>44751</v>
      </c>
      <c r="C147" s="1">
        <v>100</v>
      </c>
      <c r="D147" s="4">
        <v>0.02</v>
      </c>
      <c r="E147" s="5">
        <f t="shared" si="33"/>
        <v>1</v>
      </c>
      <c r="F147" s="1">
        <v>0</v>
      </c>
      <c r="G147" s="1">
        <f t="shared" si="34"/>
        <v>1</v>
      </c>
    </row>
    <row r="148" spans="1:10" x14ac:dyDescent="0.2">
      <c r="A148" s="1" t="s">
        <v>67</v>
      </c>
      <c r="B148" s="3">
        <v>44935</v>
      </c>
      <c r="C148" s="1">
        <v>100</v>
      </c>
      <c r="D148" s="4">
        <v>3.875E-2</v>
      </c>
      <c r="E148" s="5">
        <f t="shared" si="33"/>
        <v>1.9375</v>
      </c>
      <c r="F148" s="1">
        <v>0</v>
      </c>
      <c r="G148" s="1">
        <f t="shared" si="34"/>
        <v>1.9375</v>
      </c>
    </row>
    <row r="149" spans="1:10" x14ac:dyDescent="0.2">
      <c r="A149" s="1" t="s">
        <v>67</v>
      </c>
      <c r="B149" s="3">
        <v>45116</v>
      </c>
      <c r="C149" s="1">
        <v>100</v>
      </c>
      <c r="D149" s="4">
        <v>3.875E-2</v>
      </c>
      <c r="E149" s="5">
        <f t="shared" si="33"/>
        <v>1.9375</v>
      </c>
      <c r="F149" s="1">
        <v>0</v>
      </c>
      <c r="G149" s="1">
        <f t="shared" si="34"/>
        <v>1.9375</v>
      </c>
    </row>
    <row r="150" spans="1:10" x14ac:dyDescent="0.2">
      <c r="A150" s="1" t="s">
        <v>67</v>
      </c>
      <c r="B150" s="3">
        <v>45300</v>
      </c>
      <c r="C150" s="1">
        <v>100</v>
      </c>
      <c r="D150" s="4">
        <v>4.2500000000000003E-2</v>
      </c>
      <c r="E150" s="5">
        <f t="shared" si="33"/>
        <v>2.125</v>
      </c>
      <c r="F150" s="1">
        <v>0</v>
      </c>
      <c r="G150" s="1">
        <f t="shared" si="34"/>
        <v>2.125</v>
      </c>
    </row>
    <row r="151" spans="1:10" x14ac:dyDescent="0.2">
      <c r="A151" s="1" t="s">
        <v>67</v>
      </c>
      <c r="B151" s="3">
        <v>45482</v>
      </c>
      <c r="C151" s="1">
        <v>100</v>
      </c>
      <c r="D151" s="4">
        <v>4.2500000000000003E-2</v>
      </c>
      <c r="E151" s="5">
        <f t="shared" si="33"/>
        <v>2.125</v>
      </c>
      <c r="F151" s="1">
        <v>0</v>
      </c>
      <c r="G151" s="1">
        <f t="shared" si="34"/>
        <v>2.125</v>
      </c>
    </row>
    <row r="152" spans="1:10" x14ac:dyDescent="0.2">
      <c r="A152" s="1" t="s">
        <v>67</v>
      </c>
      <c r="B152" s="3">
        <v>45666</v>
      </c>
      <c r="C152" s="1">
        <v>100</v>
      </c>
      <c r="D152" s="4">
        <v>0.05</v>
      </c>
      <c r="E152" s="5">
        <f t="shared" si="33"/>
        <v>2.5</v>
      </c>
      <c r="F152" s="1">
        <v>0</v>
      </c>
      <c r="G152" s="1">
        <f t="shared" si="34"/>
        <v>2.5</v>
      </c>
    </row>
    <row r="153" spans="1:10" x14ac:dyDescent="0.2">
      <c r="A153" s="1" t="s">
        <v>67</v>
      </c>
      <c r="B153" s="3">
        <v>45847</v>
      </c>
      <c r="C153" s="1">
        <v>100</v>
      </c>
      <c r="D153" s="4">
        <v>0.05</v>
      </c>
      <c r="E153" s="5">
        <f t="shared" si="33"/>
        <v>2.5</v>
      </c>
      <c r="F153" s="1">
        <v>0</v>
      </c>
      <c r="G153" s="1">
        <f t="shared" si="34"/>
        <v>2.5</v>
      </c>
    </row>
    <row r="154" spans="1:10" x14ac:dyDescent="0.2">
      <c r="A154" s="1" t="s">
        <v>67</v>
      </c>
      <c r="B154" s="3">
        <v>46031</v>
      </c>
      <c r="C154" s="1">
        <v>100</v>
      </c>
      <c r="D154" s="4">
        <v>0.05</v>
      </c>
      <c r="E154" s="5">
        <f>((D154*C153)/360)*DAYS360(B153,B154)</f>
        <v>2.5</v>
      </c>
      <c r="F154" s="1">
        <v>0</v>
      </c>
      <c r="G154" s="1">
        <f t="shared" si="34"/>
        <v>2.5</v>
      </c>
    </row>
    <row r="155" spans="1:10" x14ac:dyDescent="0.2">
      <c r="A155" s="1" t="s">
        <v>67</v>
      </c>
      <c r="B155" s="3">
        <v>46212</v>
      </c>
      <c r="C155" s="1">
        <v>100</v>
      </c>
      <c r="D155" s="4">
        <v>0.05</v>
      </c>
      <c r="E155" s="5">
        <f t="shared" si="33"/>
        <v>2.5</v>
      </c>
      <c r="F155" s="1">
        <v>0</v>
      </c>
      <c r="G155" s="1">
        <f t="shared" si="34"/>
        <v>2.5</v>
      </c>
      <c r="I155" s="8"/>
    </row>
    <row r="156" spans="1:10" x14ac:dyDescent="0.2">
      <c r="A156" s="1" t="s">
        <v>67</v>
      </c>
      <c r="B156" s="3">
        <v>46396</v>
      </c>
      <c r="C156" s="1">
        <v>100</v>
      </c>
      <c r="D156" s="4">
        <v>0.05</v>
      </c>
      <c r="E156" s="5">
        <f t="shared" ref="E156:E178" si="35">((D156*C155)/360)*DAYS360(B155,B156)</f>
        <v>2.5</v>
      </c>
      <c r="F156" s="1">
        <v>0</v>
      </c>
      <c r="G156" s="1">
        <f t="shared" ref="G156:G178" si="36">F156+E156</f>
        <v>2.5</v>
      </c>
      <c r="I156" s="3"/>
      <c r="J156" s="1"/>
    </row>
    <row r="157" spans="1:10" x14ac:dyDescent="0.2">
      <c r="A157" s="1" t="s">
        <v>67</v>
      </c>
      <c r="B157" s="3">
        <v>46577</v>
      </c>
      <c r="C157" s="1">
        <f t="shared" ref="C157:C177" si="37">C156-F157</f>
        <v>95.454599999999999</v>
      </c>
      <c r="D157" s="4">
        <v>0.05</v>
      </c>
      <c r="E157" s="5">
        <f t="shared" si="35"/>
        <v>2.5</v>
      </c>
      <c r="F157" s="1">
        <v>4.5453999999999999</v>
      </c>
      <c r="G157" s="1">
        <f t="shared" si="36"/>
        <v>7.0453999999999999</v>
      </c>
      <c r="I157" s="3"/>
      <c r="J157" s="1"/>
    </row>
    <row r="158" spans="1:10" x14ac:dyDescent="0.2">
      <c r="A158" s="1" t="s">
        <v>67</v>
      </c>
      <c r="B158" s="3">
        <v>46761</v>
      </c>
      <c r="C158" s="1">
        <f t="shared" si="37"/>
        <v>90.909199999999998</v>
      </c>
      <c r="D158" s="4">
        <v>0.05</v>
      </c>
      <c r="E158" s="5">
        <f t="shared" si="35"/>
        <v>2.3863650000000001</v>
      </c>
      <c r="F158" s="1">
        <v>4.5453999999999999</v>
      </c>
      <c r="G158" s="1">
        <f t="shared" si="36"/>
        <v>6.9317650000000004</v>
      </c>
      <c r="I158" s="3"/>
      <c r="J158" s="1"/>
    </row>
    <row r="159" spans="1:10" x14ac:dyDescent="0.2">
      <c r="A159" s="1" t="s">
        <v>67</v>
      </c>
      <c r="B159" s="3">
        <v>46943</v>
      </c>
      <c r="C159" s="1">
        <f t="shared" si="37"/>
        <v>86.363799999999998</v>
      </c>
      <c r="D159" s="4">
        <v>0.05</v>
      </c>
      <c r="E159" s="5">
        <f t="shared" si="35"/>
        <v>2.2727300000000001</v>
      </c>
      <c r="F159" s="1">
        <v>4.5453999999999999</v>
      </c>
      <c r="G159" s="1">
        <f t="shared" si="36"/>
        <v>6.81813</v>
      </c>
      <c r="I159" s="3"/>
      <c r="J159" s="1"/>
    </row>
    <row r="160" spans="1:10" x14ac:dyDescent="0.2">
      <c r="A160" s="1" t="s">
        <v>67</v>
      </c>
      <c r="B160" s="3">
        <v>47127</v>
      </c>
      <c r="C160" s="1">
        <f t="shared" si="37"/>
        <v>81.818399999999997</v>
      </c>
      <c r="D160" s="4">
        <v>0.05</v>
      </c>
      <c r="E160" s="5">
        <f t="shared" si="35"/>
        <v>2.1590950000000002</v>
      </c>
      <c r="F160" s="1">
        <v>4.5453999999999999</v>
      </c>
      <c r="G160" s="1">
        <f t="shared" si="36"/>
        <v>6.7044949999999996</v>
      </c>
      <c r="I160" s="3"/>
      <c r="J160" s="1"/>
    </row>
    <row r="161" spans="1:10" x14ac:dyDescent="0.2">
      <c r="A161" s="1" t="s">
        <v>67</v>
      </c>
      <c r="B161" s="3">
        <v>47308</v>
      </c>
      <c r="C161" s="1">
        <f t="shared" si="37"/>
        <v>77.272999999999996</v>
      </c>
      <c r="D161" s="4">
        <v>0.05</v>
      </c>
      <c r="E161" s="5">
        <f t="shared" si="35"/>
        <v>2.0454599999999998</v>
      </c>
      <c r="F161" s="1">
        <v>4.5453999999999999</v>
      </c>
      <c r="G161" s="1">
        <f t="shared" si="36"/>
        <v>6.5908599999999993</v>
      </c>
      <c r="I161" s="3"/>
      <c r="J161" s="1"/>
    </row>
    <row r="162" spans="1:10" x14ac:dyDescent="0.2">
      <c r="A162" s="1" t="s">
        <v>67</v>
      </c>
      <c r="B162" s="3">
        <v>47492</v>
      </c>
      <c r="C162" s="1">
        <f t="shared" si="37"/>
        <v>72.727599999999995</v>
      </c>
      <c r="D162" s="4">
        <v>0.05</v>
      </c>
      <c r="E162" s="5">
        <f t="shared" si="35"/>
        <v>1.9318249999999999</v>
      </c>
      <c r="F162" s="1">
        <v>4.5453999999999999</v>
      </c>
      <c r="G162" s="1">
        <f t="shared" si="36"/>
        <v>6.4772249999999998</v>
      </c>
      <c r="I162" s="3"/>
      <c r="J162" s="1"/>
    </row>
    <row r="163" spans="1:10" x14ac:dyDescent="0.2">
      <c r="A163" s="1" t="s">
        <v>67</v>
      </c>
      <c r="B163" s="3">
        <v>47673</v>
      </c>
      <c r="C163" s="1">
        <f t="shared" si="37"/>
        <v>68.182199999999995</v>
      </c>
      <c r="D163" s="4">
        <v>0.05</v>
      </c>
      <c r="E163" s="5">
        <f t="shared" si="35"/>
        <v>1.81819</v>
      </c>
      <c r="F163" s="1">
        <v>4.5453999999999999</v>
      </c>
      <c r="G163" s="1">
        <f t="shared" si="36"/>
        <v>6.3635900000000003</v>
      </c>
      <c r="I163" s="3"/>
      <c r="J163" s="1"/>
    </row>
    <row r="164" spans="1:10" x14ac:dyDescent="0.2">
      <c r="A164" s="1" t="s">
        <v>67</v>
      </c>
      <c r="B164" s="3">
        <v>47857</v>
      </c>
      <c r="C164" s="1">
        <f t="shared" si="37"/>
        <v>63.636799999999994</v>
      </c>
      <c r="D164" s="4">
        <v>0.05</v>
      </c>
      <c r="E164" s="5">
        <f t="shared" si="35"/>
        <v>1.704555</v>
      </c>
      <c r="F164" s="1">
        <v>4.5453999999999999</v>
      </c>
      <c r="G164" s="1">
        <f t="shared" si="36"/>
        <v>6.2499549999999999</v>
      </c>
      <c r="I164" s="3"/>
      <c r="J164" s="1"/>
    </row>
    <row r="165" spans="1:10" x14ac:dyDescent="0.2">
      <c r="A165" s="1" t="s">
        <v>67</v>
      </c>
      <c r="B165" s="3">
        <v>48038</v>
      </c>
      <c r="C165" s="1">
        <f t="shared" si="37"/>
        <v>59.091399999999993</v>
      </c>
      <c r="D165" s="4">
        <v>0.05</v>
      </c>
      <c r="E165" s="5">
        <f t="shared" si="35"/>
        <v>1.5909199999999999</v>
      </c>
      <c r="F165" s="1">
        <v>4.5453999999999999</v>
      </c>
      <c r="G165" s="1">
        <f t="shared" si="36"/>
        <v>6.1363199999999996</v>
      </c>
      <c r="I165" s="3"/>
      <c r="J165" s="1"/>
    </row>
    <row r="166" spans="1:10" x14ac:dyDescent="0.2">
      <c r="A166" s="1" t="s">
        <v>67</v>
      </c>
      <c r="B166" s="3">
        <v>48222</v>
      </c>
      <c r="C166" s="1">
        <f t="shared" si="37"/>
        <v>54.545999999999992</v>
      </c>
      <c r="D166" s="4">
        <v>0.05</v>
      </c>
      <c r="E166" s="5">
        <f t="shared" si="35"/>
        <v>1.477285</v>
      </c>
      <c r="F166" s="1">
        <v>4.5453999999999999</v>
      </c>
      <c r="G166" s="1">
        <f t="shared" si="36"/>
        <v>6.0226850000000001</v>
      </c>
      <c r="I166" s="3"/>
      <c r="J166" s="1"/>
    </row>
    <row r="167" spans="1:10" x14ac:dyDescent="0.2">
      <c r="A167" s="1" t="s">
        <v>67</v>
      </c>
      <c r="B167" s="3">
        <v>48404</v>
      </c>
      <c r="C167" s="1">
        <f t="shared" si="37"/>
        <v>50.000599999999991</v>
      </c>
      <c r="D167" s="4">
        <v>0.05</v>
      </c>
      <c r="E167" s="5">
        <f t="shared" si="35"/>
        <v>1.3636499999999998</v>
      </c>
      <c r="F167" s="1">
        <v>4.5453999999999999</v>
      </c>
      <c r="G167" s="1">
        <f t="shared" si="36"/>
        <v>5.9090499999999997</v>
      </c>
      <c r="I167" s="3"/>
      <c r="J167" s="1"/>
    </row>
    <row r="168" spans="1:10" x14ac:dyDescent="0.2">
      <c r="A168" s="1" t="s">
        <v>67</v>
      </c>
      <c r="B168" s="3">
        <v>48588</v>
      </c>
      <c r="C168" s="1">
        <f t="shared" si="37"/>
        <v>45.455199999999991</v>
      </c>
      <c r="D168" s="4">
        <v>0.05</v>
      </c>
      <c r="E168" s="5">
        <f t="shared" si="35"/>
        <v>1.2500149999999999</v>
      </c>
      <c r="F168" s="1">
        <v>4.5453999999999999</v>
      </c>
      <c r="G168" s="1">
        <f t="shared" si="36"/>
        <v>5.7954150000000002</v>
      </c>
      <c r="I168" s="3"/>
      <c r="J168" s="1"/>
    </row>
    <row r="169" spans="1:10" x14ac:dyDescent="0.2">
      <c r="A169" s="1" t="s">
        <v>67</v>
      </c>
      <c r="B169" s="3">
        <v>48769</v>
      </c>
      <c r="C169" s="1">
        <f t="shared" si="37"/>
        <v>40.90979999999999</v>
      </c>
      <c r="D169" s="4">
        <v>0.05</v>
      </c>
      <c r="E169" s="5">
        <f t="shared" si="35"/>
        <v>1.1363799999999997</v>
      </c>
      <c r="F169" s="1">
        <v>4.5453999999999999</v>
      </c>
      <c r="G169" s="1">
        <f t="shared" si="36"/>
        <v>5.6817799999999998</v>
      </c>
      <c r="I169" s="3"/>
      <c r="J169" s="1"/>
    </row>
    <row r="170" spans="1:10" x14ac:dyDescent="0.2">
      <c r="A170" s="1" t="s">
        <v>67</v>
      </c>
      <c r="B170" s="3">
        <v>48953</v>
      </c>
      <c r="C170" s="1">
        <f t="shared" si="37"/>
        <v>36.364399999999989</v>
      </c>
      <c r="D170" s="4">
        <v>0.05</v>
      </c>
      <c r="E170" s="5">
        <f t="shared" si="35"/>
        <v>1.0227449999999998</v>
      </c>
      <c r="F170" s="1">
        <v>4.5453999999999999</v>
      </c>
      <c r="G170" s="1">
        <f t="shared" si="36"/>
        <v>5.5681449999999995</v>
      </c>
      <c r="I170" s="3"/>
      <c r="J170" s="1"/>
    </row>
    <row r="171" spans="1:10" x14ac:dyDescent="0.2">
      <c r="A171" s="1" t="s">
        <v>67</v>
      </c>
      <c r="B171" s="3">
        <v>49134</v>
      </c>
      <c r="C171" s="1">
        <f t="shared" si="37"/>
        <v>31.818999999999988</v>
      </c>
      <c r="D171" s="4">
        <v>0.05</v>
      </c>
      <c r="E171" s="5">
        <f t="shared" si="35"/>
        <v>0.90910999999999975</v>
      </c>
      <c r="F171" s="1">
        <v>4.5453999999999999</v>
      </c>
      <c r="G171" s="1">
        <f t="shared" si="36"/>
        <v>5.45451</v>
      </c>
      <c r="I171" s="3"/>
      <c r="J171" s="1"/>
    </row>
    <row r="172" spans="1:10" x14ac:dyDescent="0.2">
      <c r="A172" s="1" t="s">
        <v>67</v>
      </c>
      <c r="B172" s="3">
        <v>49318</v>
      </c>
      <c r="C172" s="1">
        <f t="shared" si="37"/>
        <v>27.273599999999988</v>
      </c>
      <c r="D172" s="4">
        <v>0.05</v>
      </c>
      <c r="E172" s="5">
        <f t="shared" si="35"/>
        <v>0.79547499999999971</v>
      </c>
      <c r="F172" s="1">
        <v>4.5453999999999999</v>
      </c>
      <c r="G172" s="1">
        <f t="shared" si="36"/>
        <v>5.3408749999999996</v>
      </c>
      <c r="I172" s="3"/>
      <c r="J172" s="1"/>
    </row>
    <row r="173" spans="1:10" x14ac:dyDescent="0.2">
      <c r="A173" s="1" t="s">
        <v>67</v>
      </c>
      <c r="B173" s="3">
        <v>49499</v>
      </c>
      <c r="C173" s="1">
        <f t="shared" si="37"/>
        <v>22.728199999999987</v>
      </c>
      <c r="D173" s="4">
        <v>0.05</v>
      </c>
      <c r="E173" s="5">
        <f t="shared" si="35"/>
        <v>0.68183999999999978</v>
      </c>
      <c r="F173" s="1">
        <v>4.5453999999999999</v>
      </c>
      <c r="G173" s="1">
        <f t="shared" si="36"/>
        <v>5.2272400000000001</v>
      </c>
      <c r="I173" s="3"/>
      <c r="J173" s="1"/>
    </row>
    <row r="174" spans="1:10" x14ac:dyDescent="0.2">
      <c r="A174" s="1" t="s">
        <v>67</v>
      </c>
      <c r="B174" s="3">
        <v>49683</v>
      </c>
      <c r="C174" s="1">
        <f t="shared" si="37"/>
        <v>18.182799999999986</v>
      </c>
      <c r="D174" s="4">
        <v>0.05</v>
      </c>
      <c r="E174" s="5">
        <f t="shared" si="35"/>
        <v>0.56820499999999974</v>
      </c>
      <c r="F174" s="1">
        <v>4.5453999999999999</v>
      </c>
      <c r="G174" s="1">
        <f t="shared" si="36"/>
        <v>5.1136049999999997</v>
      </c>
      <c r="I174" s="3"/>
      <c r="J174" s="1"/>
    </row>
    <row r="175" spans="1:10" x14ac:dyDescent="0.2">
      <c r="A175" s="1" t="s">
        <v>67</v>
      </c>
      <c r="B175" s="3">
        <v>49865</v>
      </c>
      <c r="C175" s="1">
        <f t="shared" si="37"/>
        <v>13.637399999999985</v>
      </c>
      <c r="D175" s="4">
        <v>0.05</v>
      </c>
      <c r="E175" s="5">
        <f t="shared" si="35"/>
        <v>0.4545699999999997</v>
      </c>
      <c r="F175" s="1">
        <v>4.5453999999999999</v>
      </c>
      <c r="G175" s="1">
        <f t="shared" si="36"/>
        <v>4.9999699999999994</v>
      </c>
      <c r="I175" s="3"/>
      <c r="J175" s="1"/>
    </row>
    <row r="176" spans="1:10" x14ac:dyDescent="0.2">
      <c r="A176" s="1" t="s">
        <v>67</v>
      </c>
      <c r="B176" s="3">
        <v>50049</v>
      </c>
      <c r="C176" s="1">
        <f t="shared" si="37"/>
        <v>9.0919999999999845</v>
      </c>
      <c r="D176" s="4">
        <v>0.05</v>
      </c>
      <c r="E176" s="5">
        <f t="shared" si="35"/>
        <v>0.34093499999999965</v>
      </c>
      <c r="F176" s="1">
        <v>4.5453999999999999</v>
      </c>
      <c r="G176" s="1">
        <f t="shared" si="36"/>
        <v>4.8863349999999999</v>
      </c>
      <c r="I176" s="3"/>
      <c r="J176" s="1"/>
    </row>
    <row r="177" spans="1:10" x14ac:dyDescent="0.2">
      <c r="A177" s="1" t="s">
        <v>67</v>
      </c>
      <c r="B177" s="3">
        <v>50230</v>
      </c>
      <c r="C177" s="1">
        <f t="shared" si="37"/>
        <v>4.5465999999999847</v>
      </c>
      <c r="D177" s="4">
        <v>0.05</v>
      </c>
      <c r="E177" s="5">
        <f t="shared" si="35"/>
        <v>0.22729999999999961</v>
      </c>
      <c r="F177" s="1">
        <v>4.5453999999999999</v>
      </c>
      <c r="G177" s="1">
        <f t="shared" si="36"/>
        <v>4.7726999999999995</v>
      </c>
      <c r="I177" s="3"/>
      <c r="J177" s="1"/>
    </row>
    <row r="178" spans="1:10" x14ac:dyDescent="0.2">
      <c r="A178" s="1" t="s">
        <v>67</v>
      </c>
      <c r="B178" s="3">
        <v>50414</v>
      </c>
      <c r="C178" s="1">
        <v>0</v>
      </c>
      <c r="D178" s="4">
        <v>0.05</v>
      </c>
      <c r="E178" s="5">
        <f t="shared" si="35"/>
        <v>0.11366499999999963</v>
      </c>
      <c r="F178" s="1">
        <v>4.5465999999999998</v>
      </c>
      <c r="G178" s="1">
        <f t="shared" si="36"/>
        <v>4.660264999999999</v>
      </c>
      <c r="I178" s="3"/>
      <c r="J178" s="1"/>
    </row>
    <row r="179" spans="1:10" x14ac:dyDescent="0.2">
      <c r="A179" s="1"/>
      <c r="B179" s="3"/>
      <c r="C179" s="1"/>
      <c r="D179" s="4"/>
      <c r="E179" s="5"/>
      <c r="F179" s="1"/>
      <c r="G179" s="1"/>
    </row>
    <row r="180" spans="1:10" x14ac:dyDescent="0.2">
      <c r="A180" s="2" t="s">
        <v>0</v>
      </c>
      <c r="B180" s="2" t="s">
        <v>10</v>
      </c>
      <c r="C180" s="2" t="s">
        <v>11</v>
      </c>
      <c r="D180" s="2" t="s">
        <v>14</v>
      </c>
      <c r="E180" s="2" t="s">
        <v>12</v>
      </c>
      <c r="F180" s="2" t="s">
        <v>13</v>
      </c>
      <c r="G180" s="2" t="s">
        <v>15</v>
      </c>
    </row>
    <row r="181" spans="1:10" x14ac:dyDescent="0.2">
      <c r="A181" s="1" t="s">
        <v>66</v>
      </c>
      <c r="B181" s="3">
        <v>44078</v>
      </c>
      <c r="C181" s="1">
        <v>100</v>
      </c>
      <c r="D181" s="1">
        <v>0</v>
      </c>
      <c r="E181" s="1">
        <v>0</v>
      </c>
      <c r="F181" s="1">
        <v>0</v>
      </c>
      <c r="G181" s="1">
        <f>F181+E181</f>
        <v>0</v>
      </c>
    </row>
    <row r="182" spans="1:10" x14ac:dyDescent="0.2">
      <c r="A182" s="1" t="s">
        <v>66</v>
      </c>
      <c r="B182" s="3">
        <v>44386</v>
      </c>
      <c r="C182" s="1">
        <v>100</v>
      </c>
      <c r="D182" s="4">
        <v>1.25E-3</v>
      </c>
      <c r="E182" s="5">
        <f t="shared" ref="E182:E215" si="38">((D182*C181)/360)*DAYS360(B181,B182)</f>
        <v>0.10590277777777778</v>
      </c>
      <c r="F182" s="1">
        <v>0</v>
      </c>
      <c r="G182" s="1">
        <f t="shared" ref="G182:G215" si="39">F182+E182</f>
        <v>0.10590277777777778</v>
      </c>
    </row>
    <row r="183" spans="1:10" x14ac:dyDescent="0.2">
      <c r="A183" s="1" t="s">
        <v>66</v>
      </c>
      <c r="B183" s="3">
        <v>44570</v>
      </c>
      <c r="C183" s="1">
        <v>100</v>
      </c>
      <c r="D183" s="4">
        <v>2.5000000000000001E-2</v>
      </c>
      <c r="E183" s="5">
        <f t="shared" si="38"/>
        <v>1.25</v>
      </c>
      <c r="F183" s="1">
        <v>0</v>
      </c>
      <c r="G183" s="1">
        <f t="shared" si="39"/>
        <v>1.25</v>
      </c>
    </row>
    <row r="184" spans="1:10" x14ac:dyDescent="0.2">
      <c r="A184" s="1" t="s">
        <v>66</v>
      </c>
      <c r="B184" s="3">
        <v>44751</v>
      </c>
      <c r="C184" s="1">
        <v>100</v>
      </c>
      <c r="D184" s="4">
        <v>2.5000000000000001E-2</v>
      </c>
      <c r="E184" s="5">
        <f t="shared" si="38"/>
        <v>1.25</v>
      </c>
      <c r="F184" s="1">
        <v>0</v>
      </c>
      <c r="G184" s="1">
        <f t="shared" si="39"/>
        <v>1.25</v>
      </c>
    </row>
    <row r="185" spans="1:10" x14ac:dyDescent="0.2">
      <c r="A185" s="1" t="s">
        <v>66</v>
      </c>
      <c r="B185" s="3">
        <v>44935</v>
      </c>
      <c r="C185" s="1">
        <v>100</v>
      </c>
      <c r="D185" s="4">
        <v>3.5000000000000003E-2</v>
      </c>
      <c r="E185" s="5">
        <f t="shared" si="38"/>
        <v>1.7500000000000004</v>
      </c>
      <c r="F185" s="1">
        <v>0</v>
      </c>
      <c r="G185" s="1">
        <f t="shared" si="39"/>
        <v>1.7500000000000004</v>
      </c>
    </row>
    <row r="186" spans="1:10" x14ac:dyDescent="0.2">
      <c r="A186" s="1" t="s">
        <v>66</v>
      </c>
      <c r="B186" s="3">
        <v>45116</v>
      </c>
      <c r="C186" s="1">
        <v>100</v>
      </c>
      <c r="D186" s="4">
        <v>3.5000000000000003E-2</v>
      </c>
      <c r="E186" s="5">
        <f t="shared" si="38"/>
        <v>1.7500000000000004</v>
      </c>
      <c r="F186" s="1">
        <v>0</v>
      </c>
      <c r="G186" s="1">
        <f t="shared" si="39"/>
        <v>1.7500000000000004</v>
      </c>
    </row>
    <row r="187" spans="1:10" x14ac:dyDescent="0.2">
      <c r="A187" s="1" t="s">
        <v>66</v>
      </c>
      <c r="B187" s="3">
        <v>45300</v>
      </c>
      <c r="C187" s="1">
        <v>100</v>
      </c>
      <c r="D187" s="4">
        <v>3.5000000000000003E-2</v>
      </c>
      <c r="E187" s="5">
        <f t="shared" si="38"/>
        <v>1.7500000000000004</v>
      </c>
      <c r="F187" s="1">
        <v>0</v>
      </c>
      <c r="G187" s="1">
        <f t="shared" si="39"/>
        <v>1.7500000000000004</v>
      </c>
    </row>
    <row r="188" spans="1:10" x14ac:dyDescent="0.2">
      <c r="A188" s="1" t="s">
        <v>66</v>
      </c>
      <c r="B188" s="3">
        <v>45482</v>
      </c>
      <c r="C188" s="1">
        <v>100</v>
      </c>
      <c r="D188" s="4">
        <v>3.5000000000000003E-2</v>
      </c>
      <c r="E188" s="5">
        <f t="shared" si="38"/>
        <v>1.7500000000000004</v>
      </c>
      <c r="F188" s="1">
        <v>0</v>
      </c>
      <c r="G188" s="1">
        <f t="shared" si="39"/>
        <v>1.7500000000000004</v>
      </c>
    </row>
    <row r="189" spans="1:10" x14ac:dyDescent="0.2">
      <c r="A189" s="1" t="s">
        <v>66</v>
      </c>
      <c r="B189" s="3">
        <v>45666</v>
      </c>
      <c r="C189" s="1">
        <v>100</v>
      </c>
      <c r="D189" s="4">
        <v>3.5000000000000003E-2</v>
      </c>
      <c r="E189" s="5">
        <f t="shared" si="38"/>
        <v>1.7500000000000004</v>
      </c>
      <c r="F189" s="1">
        <v>0</v>
      </c>
      <c r="G189" s="1">
        <f t="shared" si="39"/>
        <v>1.7500000000000004</v>
      </c>
    </row>
    <row r="190" spans="1:10" x14ac:dyDescent="0.2">
      <c r="A190" s="1" t="s">
        <v>66</v>
      </c>
      <c r="B190" s="3">
        <v>45847</v>
      </c>
      <c r="C190" s="1">
        <v>100</v>
      </c>
      <c r="D190" s="4">
        <v>3.5000000000000003E-2</v>
      </c>
      <c r="E190" s="5">
        <f t="shared" si="38"/>
        <v>1.7500000000000004</v>
      </c>
      <c r="F190" s="1">
        <v>0</v>
      </c>
      <c r="G190" s="1">
        <f t="shared" si="39"/>
        <v>1.7500000000000004</v>
      </c>
    </row>
    <row r="191" spans="1:10" x14ac:dyDescent="0.2">
      <c r="A191" s="1" t="s">
        <v>66</v>
      </c>
      <c r="B191" s="3">
        <v>46031</v>
      </c>
      <c r="C191" s="1">
        <v>100</v>
      </c>
      <c r="D191" s="4">
        <v>3.5000000000000003E-2</v>
      </c>
      <c r="E191" s="5">
        <f t="shared" si="38"/>
        <v>1.7500000000000004</v>
      </c>
      <c r="F191" s="1">
        <v>0</v>
      </c>
      <c r="G191" s="1">
        <f t="shared" si="39"/>
        <v>1.7500000000000004</v>
      </c>
    </row>
    <row r="192" spans="1:10" x14ac:dyDescent="0.2">
      <c r="A192" s="1" t="s">
        <v>66</v>
      </c>
      <c r="B192" s="3">
        <v>46212</v>
      </c>
      <c r="C192" s="1">
        <v>100</v>
      </c>
      <c r="D192" s="4">
        <v>3.5000000000000003E-2</v>
      </c>
      <c r="E192" s="5">
        <f t="shared" si="38"/>
        <v>1.7500000000000004</v>
      </c>
      <c r="F192" s="1">
        <v>0</v>
      </c>
      <c r="G192" s="1">
        <f t="shared" si="39"/>
        <v>1.7500000000000004</v>
      </c>
    </row>
    <row r="193" spans="1:7" x14ac:dyDescent="0.2">
      <c r="A193" s="1" t="s">
        <v>66</v>
      </c>
      <c r="B193" s="3">
        <v>46396</v>
      </c>
      <c r="C193" s="1">
        <v>100</v>
      </c>
      <c r="D193" s="4">
        <v>3.5000000000000003E-2</v>
      </c>
      <c r="E193" s="5">
        <f t="shared" si="38"/>
        <v>1.7500000000000004</v>
      </c>
      <c r="F193" s="1">
        <v>0</v>
      </c>
      <c r="G193" s="1">
        <f t="shared" si="39"/>
        <v>1.7500000000000004</v>
      </c>
    </row>
    <row r="194" spans="1:7" x14ac:dyDescent="0.2">
      <c r="A194" s="1" t="s">
        <v>66</v>
      </c>
      <c r="B194" s="3">
        <v>46577</v>
      </c>
      <c r="C194" s="1">
        <f>C193-F194</f>
        <v>100</v>
      </c>
      <c r="D194" s="4">
        <v>3.5000000000000003E-2</v>
      </c>
      <c r="E194" s="5">
        <f t="shared" si="38"/>
        <v>1.7500000000000004</v>
      </c>
      <c r="F194" s="1">
        <v>0</v>
      </c>
      <c r="G194" s="1">
        <f t="shared" si="39"/>
        <v>1.7500000000000004</v>
      </c>
    </row>
    <row r="195" spans="1:7" x14ac:dyDescent="0.2">
      <c r="A195" s="1" t="s">
        <v>66</v>
      </c>
      <c r="B195" s="3">
        <v>46761</v>
      </c>
      <c r="C195" s="1">
        <f t="shared" ref="C195:C221" si="40">C194-F195</f>
        <v>96.428600000000003</v>
      </c>
      <c r="D195" s="4">
        <v>3.5000000000000003E-2</v>
      </c>
      <c r="E195" s="5">
        <f t="shared" si="38"/>
        <v>1.7500000000000004</v>
      </c>
      <c r="F195" s="1">
        <v>3.5714000000000001</v>
      </c>
      <c r="G195" s="1">
        <f t="shared" si="39"/>
        <v>5.3214000000000006</v>
      </c>
    </row>
    <row r="196" spans="1:7" x14ac:dyDescent="0.2">
      <c r="A196" s="1" t="s">
        <v>66</v>
      </c>
      <c r="B196" s="3">
        <v>46943</v>
      </c>
      <c r="C196" s="1">
        <f t="shared" si="40"/>
        <v>92.857200000000006</v>
      </c>
      <c r="D196" s="4">
        <v>3.5000000000000003E-2</v>
      </c>
      <c r="E196" s="5">
        <f t="shared" si="38"/>
        <v>1.6875005000000005</v>
      </c>
      <c r="F196" s="1">
        <v>3.5714000000000001</v>
      </c>
      <c r="G196" s="1">
        <f t="shared" si="39"/>
        <v>5.2589005000000011</v>
      </c>
    </row>
    <row r="197" spans="1:7" x14ac:dyDescent="0.2">
      <c r="A197" s="1" t="s">
        <v>66</v>
      </c>
      <c r="B197" s="3">
        <v>47127</v>
      </c>
      <c r="C197" s="1">
        <f t="shared" si="40"/>
        <v>89.285800000000009</v>
      </c>
      <c r="D197" s="4">
        <v>3.5000000000000003E-2</v>
      </c>
      <c r="E197" s="5">
        <f t="shared" si="38"/>
        <v>1.6250010000000004</v>
      </c>
      <c r="F197" s="1">
        <v>3.5714000000000001</v>
      </c>
      <c r="G197" s="1">
        <f t="shared" si="39"/>
        <v>5.1964010000000007</v>
      </c>
    </row>
    <row r="198" spans="1:7" x14ac:dyDescent="0.2">
      <c r="A198" s="1" t="s">
        <v>66</v>
      </c>
      <c r="B198" s="3">
        <v>47308</v>
      </c>
      <c r="C198" s="1">
        <f t="shared" si="40"/>
        <v>85.714400000000012</v>
      </c>
      <c r="D198" s="4">
        <v>3.5000000000000003E-2</v>
      </c>
      <c r="E198" s="5">
        <f t="shared" si="38"/>
        <v>1.5625015000000002</v>
      </c>
      <c r="F198" s="1">
        <v>3.5714000000000001</v>
      </c>
      <c r="G198" s="1">
        <f t="shared" si="39"/>
        <v>5.1339015000000003</v>
      </c>
    </row>
    <row r="199" spans="1:7" x14ac:dyDescent="0.2">
      <c r="A199" s="1" t="s">
        <v>66</v>
      </c>
      <c r="B199" s="3">
        <v>47492</v>
      </c>
      <c r="C199" s="1">
        <f t="shared" si="40"/>
        <v>82.143000000000015</v>
      </c>
      <c r="D199" s="4">
        <v>4.8750000000000002E-2</v>
      </c>
      <c r="E199" s="5">
        <f t="shared" si="38"/>
        <v>2.0892885000000003</v>
      </c>
      <c r="F199" s="1">
        <v>3.5714000000000001</v>
      </c>
      <c r="G199" s="1">
        <f t="shared" si="39"/>
        <v>5.6606885000000009</v>
      </c>
    </row>
    <row r="200" spans="1:7" x14ac:dyDescent="0.2">
      <c r="A200" s="1" t="s">
        <v>66</v>
      </c>
      <c r="B200" s="3">
        <v>47673</v>
      </c>
      <c r="C200" s="1">
        <f t="shared" si="40"/>
        <v>78.571600000000018</v>
      </c>
      <c r="D200" s="4">
        <v>4.8750000000000002E-2</v>
      </c>
      <c r="E200" s="5">
        <f t="shared" si="38"/>
        <v>2.0022356250000004</v>
      </c>
      <c r="F200" s="1">
        <v>3.5714000000000001</v>
      </c>
      <c r="G200" s="1">
        <f t="shared" si="39"/>
        <v>5.5736356250000005</v>
      </c>
    </row>
    <row r="201" spans="1:7" x14ac:dyDescent="0.2">
      <c r="A201" s="1" t="s">
        <v>66</v>
      </c>
      <c r="B201" s="3">
        <v>47857</v>
      </c>
      <c r="C201" s="1">
        <f t="shared" si="40"/>
        <v>75.000200000000021</v>
      </c>
      <c r="D201" s="4">
        <v>4.8750000000000002E-2</v>
      </c>
      <c r="E201" s="5">
        <f t="shared" si="38"/>
        <v>1.9151827500000003</v>
      </c>
      <c r="F201" s="1">
        <v>3.5714000000000001</v>
      </c>
      <c r="G201" s="1">
        <f t="shared" si="39"/>
        <v>5.4865827500000002</v>
      </c>
    </row>
    <row r="202" spans="1:7" x14ac:dyDescent="0.2">
      <c r="A202" s="1" t="s">
        <v>66</v>
      </c>
      <c r="B202" s="3">
        <v>48038</v>
      </c>
      <c r="C202" s="1">
        <f t="shared" si="40"/>
        <v>71.428800000000024</v>
      </c>
      <c r="D202" s="4">
        <v>4.8750000000000002E-2</v>
      </c>
      <c r="E202" s="5">
        <f t="shared" si="38"/>
        <v>1.8281298750000006</v>
      </c>
      <c r="F202" s="1">
        <v>3.5714000000000001</v>
      </c>
      <c r="G202" s="1">
        <f t="shared" si="39"/>
        <v>5.3995298750000007</v>
      </c>
    </row>
    <row r="203" spans="1:7" x14ac:dyDescent="0.2">
      <c r="A203" s="1" t="s">
        <v>66</v>
      </c>
      <c r="B203" s="3">
        <v>48222</v>
      </c>
      <c r="C203" s="1">
        <f t="shared" si="40"/>
        <v>67.857400000000027</v>
      </c>
      <c r="D203" s="4">
        <v>4.8750000000000002E-2</v>
      </c>
      <c r="E203" s="5">
        <f t="shared" si="38"/>
        <v>1.7410770000000007</v>
      </c>
      <c r="F203" s="1">
        <v>3.5714000000000001</v>
      </c>
      <c r="G203" s="1">
        <f t="shared" si="39"/>
        <v>5.3124770000000012</v>
      </c>
    </row>
    <row r="204" spans="1:7" x14ac:dyDescent="0.2">
      <c r="A204" s="1" t="s">
        <v>66</v>
      </c>
      <c r="B204" s="3">
        <v>48404</v>
      </c>
      <c r="C204" s="1">
        <f t="shared" si="40"/>
        <v>64.28600000000003</v>
      </c>
      <c r="D204" s="4">
        <v>4.8750000000000002E-2</v>
      </c>
      <c r="E204" s="5">
        <f t="shared" si="38"/>
        <v>1.6540241250000007</v>
      </c>
      <c r="F204" s="1">
        <v>3.5714000000000001</v>
      </c>
      <c r="G204" s="1">
        <f t="shared" si="39"/>
        <v>5.2254241250000009</v>
      </c>
    </row>
    <row r="205" spans="1:7" x14ac:dyDescent="0.2">
      <c r="A205" s="1" t="s">
        <v>66</v>
      </c>
      <c r="B205" s="3">
        <v>48588</v>
      </c>
      <c r="C205" s="1">
        <f t="shared" si="40"/>
        <v>60.714600000000033</v>
      </c>
      <c r="D205" s="4">
        <v>4.8750000000000002E-2</v>
      </c>
      <c r="E205" s="5">
        <f t="shared" si="38"/>
        <v>1.5669712500000008</v>
      </c>
      <c r="F205" s="1">
        <v>3.5714000000000001</v>
      </c>
      <c r="G205" s="1">
        <f t="shared" si="39"/>
        <v>5.1383712500000005</v>
      </c>
    </row>
    <row r="206" spans="1:7" x14ac:dyDescent="0.2">
      <c r="A206" s="1" t="s">
        <v>66</v>
      </c>
      <c r="B206" s="3">
        <v>48769</v>
      </c>
      <c r="C206" s="1">
        <f t="shared" si="40"/>
        <v>57.143200000000036</v>
      </c>
      <c r="D206" s="4">
        <v>4.8750000000000002E-2</v>
      </c>
      <c r="E206" s="5">
        <f t="shared" si="38"/>
        <v>1.4799183750000011</v>
      </c>
      <c r="F206" s="1">
        <v>3.5714000000000001</v>
      </c>
      <c r="G206" s="1">
        <f t="shared" si="39"/>
        <v>5.051318375000001</v>
      </c>
    </row>
    <row r="207" spans="1:7" x14ac:dyDescent="0.2">
      <c r="A207" s="1" t="s">
        <v>66</v>
      </c>
      <c r="B207" s="3">
        <v>48953</v>
      </c>
      <c r="C207" s="1">
        <f t="shared" si="40"/>
        <v>53.571800000000039</v>
      </c>
      <c r="D207" s="4">
        <v>4.8750000000000002E-2</v>
      </c>
      <c r="E207" s="5">
        <f t="shared" si="38"/>
        <v>1.392865500000001</v>
      </c>
      <c r="F207" s="1">
        <v>3.5714000000000001</v>
      </c>
      <c r="G207" s="1">
        <f t="shared" si="39"/>
        <v>4.9642655000000016</v>
      </c>
    </row>
    <row r="208" spans="1:7" x14ac:dyDescent="0.2">
      <c r="A208" s="1" t="s">
        <v>66</v>
      </c>
      <c r="B208" s="3">
        <v>49134</v>
      </c>
      <c r="C208" s="1">
        <f t="shared" si="40"/>
        <v>50.000400000000042</v>
      </c>
      <c r="D208" s="4">
        <v>4.8750000000000002E-2</v>
      </c>
      <c r="E208" s="5">
        <f t="shared" si="38"/>
        <v>1.3058126250000011</v>
      </c>
      <c r="F208" s="1">
        <v>3.5714000000000001</v>
      </c>
      <c r="G208" s="1">
        <f t="shared" si="39"/>
        <v>4.8772126250000012</v>
      </c>
    </row>
    <row r="209" spans="1:7" x14ac:dyDescent="0.2">
      <c r="A209" s="1" t="s">
        <v>66</v>
      </c>
      <c r="B209" s="3">
        <v>49318</v>
      </c>
      <c r="C209" s="1">
        <f t="shared" si="40"/>
        <v>46.429000000000045</v>
      </c>
      <c r="D209" s="4">
        <v>4.8750000000000002E-2</v>
      </c>
      <c r="E209" s="5">
        <f t="shared" si="38"/>
        <v>1.2187597500000011</v>
      </c>
      <c r="F209" s="1">
        <v>3.5714000000000001</v>
      </c>
      <c r="G209" s="1">
        <f t="shared" si="39"/>
        <v>4.7901597500000008</v>
      </c>
    </row>
    <row r="210" spans="1:7" x14ac:dyDescent="0.2">
      <c r="A210" s="1" t="s">
        <v>66</v>
      </c>
      <c r="B210" s="3">
        <v>49499</v>
      </c>
      <c r="C210" s="1">
        <f t="shared" si="40"/>
        <v>42.857600000000048</v>
      </c>
      <c r="D210" s="4">
        <v>4.8750000000000002E-2</v>
      </c>
      <c r="E210" s="5">
        <f t="shared" si="38"/>
        <v>1.1317068750000012</v>
      </c>
      <c r="F210" s="1">
        <v>3.5714000000000001</v>
      </c>
      <c r="G210" s="1">
        <f t="shared" si="39"/>
        <v>4.7031068750000014</v>
      </c>
    </row>
    <row r="211" spans="1:7" x14ac:dyDescent="0.2">
      <c r="A211" s="1" t="s">
        <v>66</v>
      </c>
      <c r="B211" s="3">
        <v>49683</v>
      </c>
      <c r="C211" s="1">
        <f t="shared" si="40"/>
        <v>39.286200000000051</v>
      </c>
      <c r="D211" s="4">
        <v>4.8750000000000002E-2</v>
      </c>
      <c r="E211" s="5">
        <f t="shared" si="38"/>
        <v>1.0446540000000013</v>
      </c>
      <c r="F211" s="1">
        <v>3.5714000000000001</v>
      </c>
      <c r="G211" s="1">
        <f t="shared" si="39"/>
        <v>4.6160540000000019</v>
      </c>
    </row>
    <row r="212" spans="1:7" x14ac:dyDescent="0.2">
      <c r="A212" s="1" t="s">
        <v>66</v>
      </c>
      <c r="B212" s="3">
        <v>49865</v>
      </c>
      <c r="C212" s="1">
        <f t="shared" si="40"/>
        <v>35.714800000000054</v>
      </c>
      <c r="D212" s="4">
        <v>4.8750000000000002E-2</v>
      </c>
      <c r="E212" s="5">
        <f t="shared" si="38"/>
        <v>0.95760112500000127</v>
      </c>
      <c r="F212" s="1">
        <v>3.5714000000000001</v>
      </c>
      <c r="G212" s="1">
        <f t="shared" si="39"/>
        <v>4.5290011250000015</v>
      </c>
    </row>
    <row r="213" spans="1:7" x14ac:dyDescent="0.2">
      <c r="A213" s="1" t="s">
        <v>66</v>
      </c>
      <c r="B213" s="3">
        <v>50049</v>
      </c>
      <c r="C213" s="1">
        <f t="shared" si="40"/>
        <v>32.143400000000057</v>
      </c>
      <c r="D213" s="4">
        <v>4.8750000000000002E-2</v>
      </c>
      <c r="E213" s="5">
        <f t="shared" si="38"/>
        <v>0.87054825000000136</v>
      </c>
      <c r="F213" s="1">
        <v>3.5714000000000001</v>
      </c>
      <c r="G213" s="1">
        <f t="shared" si="39"/>
        <v>4.4419482500000012</v>
      </c>
    </row>
    <row r="214" spans="1:7" x14ac:dyDescent="0.2">
      <c r="A214" s="1" t="s">
        <v>66</v>
      </c>
      <c r="B214" s="3">
        <v>50230</v>
      </c>
      <c r="C214" s="1">
        <f t="shared" si="40"/>
        <v>28.572000000000056</v>
      </c>
      <c r="D214" s="4">
        <v>4.8750000000000002E-2</v>
      </c>
      <c r="E214" s="5">
        <f t="shared" si="38"/>
        <v>0.78349537500000155</v>
      </c>
      <c r="F214" s="1">
        <v>3.5714000000000001</v>
      </c>
      <c r="G214" s="1">
        <f t="shared" si="39"/>
        <v>4.3548953750000017</v>
      </c>
    </row>
    <row r="215" spans="1:7" x14ac:dyDescent="0.2">
      <c r="A215" s="1" t="s">
        <v>66</v>
      </c>
      <c r="B215" s="3">
        <v>50414</v>
      </c>
      <c r="C215" s="1">
        <f t="shared" si="40"/>
        <v>25.000600000000055</v>
      </c>
      <c r="D215" s="4">
        <v>4.8750000000000002E-2</v>
      </c>
      <c r="E215" s="5">
        <f t="shared" si="38"/>
        <v>0.69644250000000141</v>
      </c>
      <c r="F215" s="1">
        <v>3.5714000000000001</v>
      </c>
      <c r="G215" s="1">
        <f t="shared" si="39"/>
        <v>4.2678425000000013</v>
      </c>
    </row>
    <row r="216" spans="1:7" x14ac:dyDescent="0.2">
      <c r="A216" s="1" t="s">
        <v>66</v>
      </c>
      <c r="B216" s="3">
        <v>50595</v>
      </c>
      <c r="C216" s="1">
        <f t="shared" si="40"/>
        <v>21.429200000000055</v>
      </c>
      <c r="D216" s="4">
        <v>4.8750000000000002E-2</v>
      </c>
      <c r="E216" s="5">
        <f t="shared" ref="E216:E222" si="41">((D216*C215)/360)*DAYS360(B215,B216)</f>
        <v>0.60938962500000138</v>
      </c>
      <c r="F216" s="1">
        <v>3.5714000000000001</v>
      </c>
      <c r="G216" s="1">
        <f t="shared" ref="G216:G222" si="42">F216+E216</f>
        <v>4.1807896250000018</v>
      </c>
    </row>
    <row r="217" spans="1:7" x14ac:dyDescent="0.2">
      <c r="A217" s="1" t="s">
        <v>66</v>
      </c>
      <c r="B217" s="3">
        <v>50779</v>
      </c>
      <c r="C217" s="1">
        <f t="shared" si="40"/>
        <v>17.857800000000054</v>
      </c>
      <c r="D217" s="4">
        <v>4.8750000000000002E-2</v>
      </c>
      <c r="E217" s="5">
        <f t="shared" si="41"/>
        <v>0.52233675000000135</v>
      </c>
      <c r="F217" s="1">
        <v>3.5714000000000001</v>
      </c>
      <c r="G217" s="1">
        <f t="shared" si="42"/>
        <v>4.0937367500000015</v>
      </c>
    </row>
    <row r="218" spans="1:7" x14ac:dyDescent="0.2">
      <c r="A218" s="1" t="s">
        <v>66</v>
      </c>
      <c r="B218" s="3">
        <v>50960</v>
      </c>
      <c r="C218" s="1">
        <f t="shared" si="40"/>
        <v>14.286400000000054</v>
      </c>
      <c r="D218" s="4">
        <v>4.8750000000000002E-2</v>
      </c>
      <c r="E218" s="5">
        <f t="shared" si="41"/>
        <v>0.43528387500000132</v>
      </c>
      <c r="F218" s="1">
        <v>3.5714000000000001</v>
      </c>
      <c r="G218" s="1">
        <f t="shared" si="42"/>
        <v>4.0066838750000011</v>
      </c>
    </row>
    <row r="219" spans="1:7" x14ac:dyDescent="0.2">
      <c r="A219" s="1" t="s">
        <v>66</v>
      </c>
      <c r="B219" s="3">
        <v>51144</v>
      </c>
      <c r="C219" s="1">
        <f t="shared" si="40"/>
        <v>10.715000000000053</v>
      </c>
      <c r="D219" s="4">
        <v>4.8750000000000002E-2</v>
      </c>
      <c r="E219" s="5">
        <f t="shared" si="41"/>
        <v>0.34823100000000135</v>
      </c>
      <c r="F219" s="1">
        <v>3.5714000000000001</v>
      </c>
      <c r="G219" s="1">
        <f t="shared" si="42"/>
        <v>3.9196310000000016</v>
      </c>
    </row>
    <row r="220" spans="1:7" x14ac:dyDescent="0.2">
      <c r="A220" s="1" t="s">
        <v>66</v>
      </c>
      <c r="B220" s="3">
        <v>51326</v>
      </c>
      <c r="C220" s="1">
        <f t="shared" si="40"/>
        <v>7.1436000000000526</v>
      </c>
      <c r="D220" s="4">
        <v>4.8750000000000002E-2</v>
      </c>
      <c r="E220" s="5">
        <f t="shared" si="41"/>
        <v>0.26117812500000132</v>
      </c>
      <c r="F220" s="1">
        <v>3.5714000000000001</v>
      </c>
      <c r="G220" s="1">
        <f t="shared" si="42"/>
        <v>3.8325781250000013</v>
      </c>
    </row>
    <row r="221" spans="1:7" x14ac:dyDescent="0.2">
      <c r="A221" s="1" t="s">
        <v>66</v>
      </c>
      <c r="B221" s="3">
        <v>51510</v>
      </c>
      <c r="C221" s="1">
        <f t="shared" si="40"/>
        <v>3.5722000000000524</v>
      </c>
      <c r="D221" s="4">
        <v>4.8750000000000002E-2</v>
      </c>
      <c r="E221" s="5">
        <f t="shared" si="41"/>
        <v>0.17412525000000129</v>
      </c>
      <c r="F221" s="1">
        <v>3.5714000000000001</v>
      </c>
      <c r="G221" s="1">
        <f t="shared" si="42"/>
        <v>3.7455252500000014</v>
      </c>
    </row>
    <row r="222" spans="1:7" x14ac:dyDescent="0.2">
      <c r="A222" s="1" t="s">
        <v>66</v>
      </c>
      <c r="B222" s="3">
        <v>51691</v>
      </c>
      <c r="C222" s="1">
        <v>0</v>
      </c>
      <c r="D222" s="4">
        <v>4.8750000000000002E-2</v>
      </c>
      <c r="E222" s="5">
        <f t="shared" si="41"/>
        <v>8.7072375000001284E-2</v>
      </c>
      <c r="F222" s="1">
        <v>3.5722</v>
      </c>
      <c r="G222" s="1">
        <f t="shared" si="42"/>
        <v>3.6592723750000014</v>
      </c>
    </row>
    <row r="224" spans="1:7" x14ac:dyDescent="0.2">
      <c r="A224" s="2" t="s">
        <v>0</v>
      </c>
      <c r="B224" s="2" t="s">
        <v>10</v>
      </c>
      <c r="C224" s="2" t="s">
        <v>11</v>
      </c>
      <c r="D224" s="2" t="s">
        <v>14</v>
      </c>
      <c r="E224" s="2" t="s">
        <v>12</v>
      </c>
      <c r="F224" s="2" t="s">
        <v>13</v>
      </c>
      <c r="G224" s="2" t="s">
        <v>15</v>
      </c>
    </row>
    <row r="225" spans="1:7" x14ac:dyDescent="0.2">
      <c r="A225" s="1" t="s">
        <v>99</v>
      </c>
      <c r="B225" s="3">
        <v>46220</v>
      </c>
      <c r="C225" s="1">
        <v>100</v>
      </c>
      <c r="D225" s="1">
        <v>0</v>
      </c>
      <c r="E225" s="1">
        <v>0</v>
      </c>
      <c r="F225" s="1">
        <v>0</v>
      </c>
      <c r="G225" s="1">
        <f>F225+E225</f>
        <v>0</v>
      </c>
    </row>
    <row r="226" spans="1:7" x14ac:dyDescent="0.2">
      <c r="A226" s="1" t="s">
        <v>99</v>
      </c>
      <c r="B226" s="3">
        <v>46265</v>
      </c>
      <c r="C226" s="1">
        <v>100</v>
      </c>
      <c r="D226" s="4">
        <v>0.06</v>
      </c>
      <c r="E226" s="5">
        <f t="shared" ref="E226:E256" si="43">((D226*C225)/360)*DAYS360(B225,B226)</f>
        <v>0.73333333333333328</v>
      </c>
      <c r="F226" s="1">
        <v>0</v>
      </c>
      <c r="G226" s="1">
        <f t="shared" ref="G226:G256" si="44">F226+E226</f>
        <v>0.73333333333333328</v>
      </c>
    </row>
    <row r="227" spans="1:7" x14ac:dyDescent="0.2">
      <c r="A227" s="1" t="s">
        <v>99</v>
      </c>
      <c r="B227" s="3">
        <v>46295</v>
      </c>
      <c r="C227" s="1">
        <v>100</v>
      </c>
      <c r="D227" s="4">
        <v>0.06</v>
      </c>
      <c r="E227" s="5">
        <f t="shared" si="43"/>
        <v>0.5</v>
      </c>
      <c r="F227" s="1">
        <v>0</v>
      </c>
      <c r="G227" s="1">
        <f t="shared" si="44"/>
        <v>0.5</v>
      </c>
    </row>
    <row r="228" spans="1:7" x14ac:dyDescent="0.2">
      <c r="A228" s="1" t="s">
        <v>99</v>
      </c>
      <c r="B228" s="3">
        <v>46325</v>
      </c>
      <c r="C228" s="1">
        <v>100</v>
      </c>
      <c r="D228" s="4">
        <v>0.06</v>
      </c>
      <c r="E228" s="5">
        <f t="shared" si="43"/>
        <v>0.5</v>
      </c>
      <c r="F228" s="1">
        <v>0</v>
      </c>
      <c r="G228" s="1">
        <f t="shared" si="44"/>
        <v>0.5</v>
      </c>
    </row>
    <row r="229" spans="1:7" x14ac:dyDescent="0.2">
      <c r="A229" s="1" t="s">
        <v>99</v>
      </c>
      <c r="B229" s="3">
        <v>46356</v>
      </c>
      <c r="C229" s="1">
        <v>100</v>
      </c>
      <c r="D229" s="4">
        <v>0.06</v>
      </c>
      <c r="E229" s="5">
        <f t="shared" si="43"/>
        <v>0.5</v>
      </c>
      <c r="F229" s="1">
        <v>0</v>
      </c>
      <c r="G229" s="1">
        <f t="shared" si="44"/>
        <v>0.5</v>
      </c>
    </row>
    <row r="230" spans="1:7" x14ac:dyDescent="0.2">
      <c r="A230" s="1" t="s">
        <v>99</v>
      </c>
      <c r="B230" s="3">
        <v>46386</v>
      </c>
      <c r="C230" s="1">
        <v>100</v>
      </c>
      <c r="D230" s="4">
        <v>0.06</v>
      </c>
      <c r="E230" s="5">
        <f t="shared" si="43"/>
        <v>0.5</v>
      </c>
      <c r="F230" s="1">
        <v>0</v>
      </c>
      <c r="G230" s="1">
        <f t="shared" si="44"/>
        <v>0.5</v>
      </c>
    </row>
    <row r="231" spans="1:7" x14ac:dyDescent="0.2">
      <c r="A231" s="1" t="s">
        <v>99</v>
      </c>
      <c r="B231" s="3">
        <v>46416</v>
      </c>
      <c r="C231" s="1">
        <v>100</v>
      </c>
      <c r="D231" s="4">
        <v>0.06</v>
      </c>
      <c r="E231" s="5">
        <f t="shared" si="43"/>
        <v>0.48333333333333334</v>
      </c>
      <c r="F231" s="1">
        <v>0</v>
      </c>
      <c r="G231" s="1">
        <f t="shared" si="44"/>
        <v>0.48333333333333334</v>
      </c>
    </row>
    <row r="232" spans="1:7" x14ac:dyDescent="0.2">
      <c r="A232" s="1" t="s">
        <v>99</v>
      </c>
      <c r="B232" s="3">
        <v>46444</v>
      </c>
      <c r="C232" s="1">
        <v>100</v>
      </c>
      <c r="D232" s="4">
        <v>0.06</v>
      </c>
      <c r="E232" s="5">
        <f t="shared" si="43"/>
        <v>0.45</v>
      </c>
      <c r="F232" s="1">
        <v>0</v>
      </c>
      <c r="G232" s="1">
        <f t="shared" si="44"/>
        <v>0.45</v>
      </c>
    </row>
    <row r="233" spans="1:7" x14ac:dyDescent="0.2">
      <c r="A233" s="1" t="s">
        <v>99</v>
      </c>
      <c r="B233" s="3">
        <v>46477</v>
      </c>
      <c r="C233" s="1">
        <v>100</v>
      </c>
      <c r="D233" s="4">
        <v>0.06</v>
      </c>
      <c r="E233" s="5">
        <f t="shared" si="43"/>
        <v>0.58333333333333337</v>
      </c>
      <c r="F233" s="1">
        <v>0</v>
      </c>
      <c r="G233" s="1">
        <f t="shared" si="44"/>
        <v>0.58333333333333337</v>
      </c>
    </row>
    <row r="234" spans="1:7" x14ac:dyDescent="0.2">
      <c r="A234" s="1" t="s">
        <v>99</v>
      </c>
      <c r="B234" s="3">
        <v>46507</v>
      </c>
      <c r="C234" s="1">
        <v>100</v>
      </c>
      <c r="D234" s="4">
        <v>0.06</v>
      </c>
      <c r="E234" s="5">
        <f t="shared" si="43"/>
        <v>0.5</v>
      </c>
      <c r="F234" s="1">
        <v>0</v>
      </c>
      <c r="G234" s="1">
        <f t="shared" si="44"/>
        <v>0.5</v>
      </c>
    </row>
    <row r="235" spans="1:7" x14ac:dyDescent="0.2">
      <c r="A235" s="1" t="s">
        <v>99</v>
      </c>
      <c r="B235" s="3">
        <v>46538</v>
      </c>
      <c r="C235" s="1">
        <v>100</v>
      </c>
      <c r="D235" s="4">
        <v>0.06</v>
      </c>
      <c r="E235" s="5">
        <f t="shared" si="43"/>
        <v>0.5</v>
      </c>
      <c r="F235" s="1">
        <v>0</v>
      </c>
      <c r="G235" s="1">
        <f t="shared" si="44"/>
        <v>0.5</v>
      </c>
    </row>
    <row r="236" spans="1:7" x14ac:dyDescent="0.2">
      <c r="A236" s="1" t="s">
        <v>99</v>
      </c>
      <c r="B236" s="3">
        <v>46568</v>
      </c>
      <c r="C236" s="1">
        <v>100</v>
      </c>
      <c r="D236" s="4">
        <v>0.06</v>
      </c>
      <c r="E236" s="5">
        <f t="shared" si="43"/>
        <v>0.5</v>
      </c>
      <c r="F236" s="1">
        <v>0</v>
      </c>
      <c r="G236" s="1">
        <f t="shared" si="44"/>
        <v>0.5</v>
      </c>
    </row>
    <row r="237" spans="1:7" x14ac:dyDescent="0.2">
      <c r="A237" s="1" t="s">
        <v>99</v>
      </c>
      <c r="B237" s="3">
        <v>46598</v>
      </c>
      <c r="C237" s="1">
        <v>100</v>
      </c>
      <c r="D237" s="4">
        <v>0.06</v>
      </c>
      <c r="E237" s="5">
        <f t="shared" si="43"/>
        <v>0.5</v>
      </c>
      <c r="F237" s="1">
        <v>0</v>
      </c>
      <c r="G237" s="1">
        <f t="shared" si="44"/>
        <v>0.5</v>
      </c>
    </row>
    <row r="238" spans="1:7" x14ac:dyDescent="0.2">
      <c r="A238" s="1" t="s">
        <v>99</v>
      </c>
      <c r="B238" s="3">
        <v>46630</v>
      </c>
      <c r="C238" s="1">
        <v>100</v>
      </c>
      <c r="D238" s="4">
        <v>0.06</v>
      </c>
      <c r="E238" s="5">
        <f t="shared" si="43"/>
        <v>0.5</v>
      </c>
      <c r="F238" s="1">
        <v>0</v>
      </c>
      <c r="G238" s="1">
        <f t="shared" si="44"/>
        <v>0.5</v>
      </c>
    </row>
    <row r="239" spans="1:7" x14ac:dyDescent="0.2">
      <c r="A239" s="1" t="s">
        <v>99</v>
      </c>
      <c r="B239" s="3">
        <v>46660</v>
      </c>
      <c r="C239" s="1">
        <v>100</v>
      </c>
      <c r="D239" s="4">
        <v>0.06</v>
      </c>
      <c r="E239" s="5">
        <f t="shared" si="43"/>
        <v>0.5</v>
      </c>
      <c r="F239" s="1">
        <v>0</v>
      </c>
      <c r="G239" s="1">
        <f t="shared" si="44"/>
        <v>0.5</v>
      </c>
    </row>
    <row r="240" spans="1:7" x14ac:dyDescent="0.2">
      <c r="A240" s="1" t="s">
        <v>99</v>
      </c>
      <c r="B240" s="3">
        <v>46689</v>
      </c>
      <c r="C240" s="1">
        <v>100</v>
      </c>
      <c r="D240" s="4">
        <v>0.06</v>
      </c>
      <c r="E240" s="5">
        <f t="shared" si="43"/>
        <v>0.48333333333333334</v>
      </c>
      <c r="F240" s="1">
        <v>0</v>
      </c>
      <c r="G240" s="1">
        <f t="shared" si="44"/>
        <v>0.48333333333333334</v>
      </c>
    </row>
    <row r="241" spans="1:7" x14ac:dyDescent="0.2">
      <c r="A241" s="1" t="s">
        <v>99</v>
      </c>
      <c r="B241" s="3">
        <v>46721</v>
      </c>
      <c r="C241" s="1">
        <v>100</v>
      </c>
      <c r="D241" s="4">
        <v>0.06</v>
      </c>
      <c r="E241" s="5">
        <f t="shared" si="43"/>
        <v>0.51666666666666661</v>
      </c>
      <c r="F241" s="1">
        <v>0</v>
      </c>
      <c r="G241" s="1">
        <f t="shared" si="44"/>
        <v>0.51666666666666661</v>
      </c>
    </row>
    <row r="242" spans="1:7" x14ac:dyDescent="0.2">
      <c r="A242" s="1" t="s">
        <v>99</v>
      </c>
      <c r="B242" s="3">
        <v>46751</v>
      </c>
      <c r="C242" s="1">
        <v>100</v>
      </c>
      <c r="D242" s="4">
        <v>0.06</v>
      </c>
      <c r="E242" s="5">
        <f t="shared" si="43"/>
        <v>0.5</v>
      </c>
      <c r="F242" s="1">
        <v>0</v>
      </c>
      <c r="G242" s="1">
        <f t="shared" si="44"/>
        <v>0.5</v>
      </c>
    </row>
    <row r="243" spans="1:7" x14ac:dyDescent="0.2">
      <c r="A243" s="1" t="s">
        <v>99</v>
      </c>
      <c r="B243" s="3">
        <v>46783</v>
      </c>
      <c r="C243" s="1">
        <v>100</v>
      </c>
      <c r="D243" s="4">
        <v>0.06</v>
      </c>
      <c r="E243" s="5">
        <f t="shared" si="43"/>
        <v>0.5</v>
      </c>
      <c r="F243" s="1">
        <v>0</v>
      </c>
      <c r="G243" s="1">
        <f t="shared" si="44"/>
        <v>0.5</v>
      </c>
    </row>
    <row r="244" spans="1:7" x14ac:dyDescent="0.2">
      <c r="A244" s="1" t="s">
        <v>99</v>
      </c>
      <c r="B244" s="3">
        <v>46812</v>
      </c>
      <c r="C244" s="1">
        <v>100</v>
      </c>
      <c r="D244" s="4">
        <v>0.06</v>
      </c>
      <c r="E244" s="5">
        <f t="shared" si="43"/>
        <v>0.48333333333333334</v>
      </c>
      <c r="F244" s="1">
        <v>0</v>
      </c>
      <c r="G244" s="1">
        <f t="shared" si="44"/>
        <v>0.48333333333333334</v>
      </c>
    </row>
    <row r="245" spans="1:7" x14ac:dyDescent="0.2">
      <c r="A245" s="1" t="s">
        <v>99</v>
      </c>
      <c r="B245" s="3">
        <v>46843</v>
      </c>
      <c r="C245" s="1">
        <v>100</v>
      </c>
      <c r="D245" s="4">
        <v>0.06</v>
      </c>
      <c r="E245" s="5">
        <f t="shared" si="43"/>
        <v>0.5</v>
      </c>
      <c r="F245" s="1">
        <v>0</v>
      </c>
      <c r="G245" s="1">
        <f t="shared" si="44"/>
        <v>0.5</v>
      </c>
    </row>
    <row r="246" spans="1:7" x14ac:dyDescent="0.2">
      <c r="A246" s="1" t="s">
        <v>99</v>
      </c>
      <c r="B246" s="3">
        <v>46871</v>
      </c>
      <c r="C246" s="1">
        <v>100</v>
      </c>
      <c r="D246" s="4">
        <v>0.06</v>
      </c>
      <c r="E246" s="5">
        <f t="shared" si="43"/>
        <v>0.46666666666666667</v>
      </c>
      <c r="F246" s="1">
        <v>0</v>
      </c>
      <c r="G246" s="1">
        <f t="shared" si="44"/>
        <v>0.46666666666666667</v>
      </c>
    </row>
    <row r="247" spans="1:7" x14ac:dyDescent="0.2">
      <c r="A247" s="1" t="s">
        <v>99</v>
      </c>
      <c r="B247" s="3">
        <v>46904</v>
      </c>
      <c r="C247" s="1">
        <v>100</v>
      </c>
      <c r="D247" s="4">
        <v>0.06</v>
      </c>
      <c r="E247" s="5">
        <f t="shared" si="43"/>
        <v>0.55000000000000004</v>
      </c>
      <c r="F247" s="1">
        <v>0</v>
      </c>
      <c r="G247" s="1">
        <f t="shared" si="44"/>
        <v>0.55000000000000004</v>
      </c>
    </row>
    <row r="248" spans="1:7" x14ac:dyDescent="0.2">
      <c r="A248" s="1" t="s">
        <v>99</v>
      </c>
      <c r="B248" s="3">
        <v>46934</v>
      </c>
      <c r="C248" s="1">
        <v>100</v>
      </c>
      <c r="D248" s="4">
        <v>0.06</v>
      </c>
      <c r="E248" s="5">
        <f t="shared" si="43"/>
        <v>0.5</v>
      </c>
      <c r="F248" s="1">
        <v>0</v>
      </c>
      <c r="G248" s="1">
        <f t="shared" si="44"/>
        <v>0.5</v>
      </c>
    </row>
    <row r="249" spans="1:7" x14ac:dyDescent="0.2">
      <c r="A249" s="1" t="s">
        <v>99</v>
      </c>
      <c r="B249" s="3">
        <v>46965</v>
      </c>
      <c r="C249" s="1">
        <v>100</v>
      </c>
      <c r="D249" s="4">
        <v>0.06</v>
      </c>
      <c r="E249" s="5">
        <f t="shared" si="43"/>
        <v>0.5</v>
      </c>
      <c r="F249" s="1">
        <v>0</v>
      </c>
      <c r="G249" s="1">
        <f t="shared" si="44"/>
        <v>0.5</v>
      </c>
    </row>
    <row r="250" spans="1:7" x14ac:dyDescent="0.2">
      <c r="A250" s="1" t="s">
        <v>99</v>
      </c>
      <c r="B250" s="3">
        <v>46996</v>
      </c>
      <c r="C250" s="1">
        <v>100</v>
      </c>
      <c r="D250" s="4">
        <v>0.06</v>
      </c>
      <c r="E250" s="5">
        <f t="shared" si="43"/>
        <v>0.5</v>
      </c>
      <c r="F250" s="1">
        <v>0</v>
      </c>
      <c r="G250" s="1">
        <f t="shared" si="44"/>
        <v>0.5</v>
      </c>
    </row>
    <row r="251" spans="1:7" x14ac:dyDescent="0.2">
      <c r="A251" s="1" t="s">
        <v>99</v>
      </c>
      <c r="B251" s="3">
        <v>47025</v>
      </c>
      <c r="C251" s="1">
        <v>100</v>
      </c>
      <c r="D251" s="4">
        <v>0.06</v>
      </c>
      <c r="E251" s="5">
        <f t="shared" si="43"/>
        <v>0.48333333333333334</v>
      </c>
      <c r="F251" s="1">
        <v>0</v>
      </c>
      <c r="G251" s="1">
        <f t="shared" si="44"/>
        <v>0.48333333333333334</v>
      </c>
    </row>
    <row r="252" spans="1:7" x14ac:dyDescent="0.2">
      <c r="A252" s="1" t="s">
        <v>99</v>
      </c>
      <c r="B252" s="3">
        <v>47057</v>
      </c>
      <c r="C252" s="1">
        <v>100</v>
      </c>
      <c r="D252" s="4">
        <v>0.06</v>
      </c>
      <c r="E252" s="5">
        <f t="shared" si="43"/>
        <v>0.53333333333333333</v>
      </c>
      <c r="F252" s="1">
        <v>0</v>
      </c>
      <c r="G252" s="1">
        <f t="shared" si="44"/>
        <v>0.53333333333333333</v>
      </c>
    </row>
    <row r="253" spans="1:7" x14ac:dyDescent="0.2">
      <c r="A253" s="1" t="s">
        <v>99</v>
      </c>
      <c r="B253" s="3">
        <v>47087</v>
      </c>
      <c r="C253" s="1">
        <v>100</v>
      </c>
      <c r="D253" s="4">
        <v>0.06</v>
      </c>
      <c r="E253" s="5">
        <f t="shared" si="43"/>
        <v>0.5</v>
      </c>
      <c r="F253" s="1">
        <v>0</v>
      </c>
      <c r="G253" s="1">
        <f t="shared" si="44"/>
        <v>0.5</v>
      </c>
    </row>
    <row r="254" spans="1:7" x14ac:dyDescent="0.2">
      <c r="A254" s="1" t="s">
        <v>99</v>
      </c>
      <c r="B254" s="3">
        <v>47116</v>
      </c>
      <c r="C254" s="1">
        <v>100</v>
      </c>
      <c r="D254" s="4">
        <v>0.06</v>
      </c>
      <c r="E254" s="5">
        <f t="shared" si="43"/>
        <v>0.48333333333333334</v>
      </c>
      <c r="F254" s="1">
        <v>0</v>
      </c>
      <c r="G254" s="1">
        <f t="shared" si="44"/>
        <v>0.48333333333333334</v>
      </c>
    </row>
    <row r="255" spans="1:7" x14ac:dyDescent="0.2">
      <c r="A255" s="1" t="s">
        <v>99</v>
      </c>
      <c r="B255" s="3">
        <v>47149</v>
      </c>
      <c r="C255" s="1">
        <v>100</v>
      </c>
      <c r="D255" s="4">
        <v>0.06</v>
      </c>
      <c r="E255" s="5">
        <f t="shared" si="43"/>
        <v>0.53333333333333333</v>
      </c>
      <c r="F255" s="1">
        <v>0</v>
      </c>
      <c r="G255" s="1">
        <f t="shared" si="44"/>
        <v>0.53333333333333333</v>
      </c>
    </row>
    <row r="256" spans="1:7" x14ac:dyDescent="0.2">
      <c r="A256" s="1" t="s">
        <v>99</v>
      </c>
      <c r="B256" s="3">
        <v>47177</v>
      </c>
      <c r="C256" s="1">
        <f>C255-F256</f>
        <v>100</v>
      </c>
      <c r="D256" s="4">
        <v>0.06</v>
      </c>
      <c r="E256" s="5">
        <f t="shared" si="43"/>
        <v>0.46666666666666667</v>
      </c>
      <c r="F256" s="1">
        <v>0</v>
      </c>
      <c r="G256" s="1">
        <f t="shared" si="44"/>
        <v>0.46666666666666667</v>
      </c>
    </row>
    <row r="257" spans="1:7" x14ac:dyDescent="0.2">
      <c r="A257" s="1" t="s">
        <v>99</v>
      </c>
      <c r="B257" s="3">
        <v>47205</v>
      </c>
      <c r="C257" s="1">
        <v>100</v>
      </c>
      <c r="D257" s="4">
        <v>0.06</v>
      </c>
      <c r="E257" s="5">
        <f t="shared" ref="E257:E264" si="45">((D257*C256)/360)*DAYS360(B256,B257)</f>
        <v>0.46666666666666667</v>
      </c>
      <c r="F257" s="1">
        <v>0</v>
      </c>
      <c r="G257" s="1">
        <f t="shared" ref="G257:G264" si="46">F257+E257</f>
        <v>0.46666666666666667</v>
      </c>
    </row>
    <row r="258" spans="1:7" x14ac:dyDescent="0.2">
      <c r="A258" s="1" t="s">
        <v>99</v>
      </c>
      <c r="B258" s="3">
        <v>47238</v>
      </c>
      <c r="C258" s="1">
        <f t="shared" ref="C258" si="47">C257-F258</f>
        <v>100</v>
      </c>
      <c r="D258" s="4">
        <v>0.06</v>
      </c>
      <c r="E258" s="5">
        <f t="shared" si="45"/>
        <v>0.53333333333333333</v>
      </c>
      <c r="F258" s="1">
        <v>0</v>
      </c>
      <c r="G258" s="1">
        <f t="shared" si="46"/>
        <v>0.53333333333333333</v>
      </c>
    </row>
    <row r="259" spans="1:7" x14ac:dyDescent="0.2">
      <c r="A259" s="1" t="s">
        <v>99</v>
      </c>
      <c r="B259" s="3">
        <v>47269</v>
      </c>
      <c r="C259" s="1">
        <v>100</v>
      </c>
      <c r="D259" s="4">
        <v>0.06</v>
      </c>
      <c r="E259" s="5">
        <f t="shared" si="45"/>
        <v>0.5</v>
      </c>
      <c r="F259" s="1">
        <v>0</v>
      </c>
      <c r="G259" s="1">
        <f t="shared" si="46"/>
        <v>0.5</v>
      </c>
    </row>
    <row r="260" spans="1:7" x14ac:dyDescent="0.2">
      <c r="A260" s="1" t="s">
        <v>99</v>
      </c>
      <c r="B260" s="3">
        <v>47298</v>
      </c>
      <c r="C260" s="1">
        <f t="shared" ref="C260" si="48">C259-F260</f>
        <v>100</v>
      </c>
      <c r="D260" s="4">
        <v>0.06</v>
      </c>
      <c r="E260" s="5">
        <f t="shared" si="45"/>
        <v>0.48333333333333334</v>
      </c>
      <c r="F260" s="1">
        <v>0</v>
      </c>
      <c r="G260" s="1">
        <f t="shared" si="46"/>
        <v>0.48333333333333334</v>
      </c>
    </row>
    <row r="261" spans="1:7" x14ac:dyDescent="0.2">
      <c r="A261" s="1" t="s">
        <v>99</v>
      </c>
      <c r="B261" s="3">
        <v>47330</v>
      </c>
      <c r="C261" s="1">
        <v>100</v>
      </c>
      <c r="D261" s="4">
        <v>0.06</v>
      </c>
      <c r="E261" s="5">
        <f t="shared" si="45"/>
        <v>0.53333333333333333</v>
      </c>
      <c r="F261" s="1">
        <v>0</v>
      </c>
      <c r="G261" s="1">
        <f t="shared" si="46"/>
        <v>0.53333333333333333</v>
      </c>
    </row>
    <row r="262" spans="1:7" x14ac:dyDescent="0.2">
      <c r="A262" s="1" t="s">
        <v>99</v>
      </c>
      <c r="B262" s="3">
        <v>47361</v>
      </c>
      <c r="C262" s="1">
        <f t="shared" ref="C262" si="49">C261-F262</f>
        <v>100</v>
      </c>
      <c r="D262" s="4">
        <v>0.06</v>
      </c>
      <c r="E262" s="5">
        <f t="shared" si="45"/>
        <v>0.5</v>
      </c>
      <c r="F262" s="1">
        <v>0</v>
      </c>
      <c r="G262" s="1">
        <f t="shared" si="46"/>
        <v>0.5</v>
      </c>
    </row>
    <row r="263" spans="1:7" x14ac:dyDescent="0.2">
      <c r="A263" s="1" t="s">
        <v>99</v>
      </c>
      <c r="B263" s="3">
        <v>47389</v>
      </c>
      <c r="C263" s="1">
        <v>100</v>
      </c>
      <c r="D263" s="4">
        <v>0.06</v>
      </c>
      <c r="E263" s="5">
        <f t="shared" si="45"/>
        <v>0.46666666666666667</v>
      </c>
      <c r="F263" s="1">
        <v>0</v>
      </c>
      <c r="G263" s="1">
        <f t="shared" si="46"/>
        <v>0.46666666666666667</v>
      </c>
    </row>
    <row r="264" spans="1:7" x14ac:dyDescent="0.2">
      <c r="A264" s="1" t="s">
        <v>99</v>
      </c>
      <c r="B264" s="3">
        <v>47422</v>
      </c>
      <c r="C264" s="1">
        <f t="shared" ref="C264" si="50">C263-F264</f>
        <v>0</v>
      </c>
      <c r="D264" s="4">
        <v>0.06</v>
      </c>
      <c r="E264" s="5">
        <f t="shared" si="45"/>
        <v>0.55000000000000004</v>
      </c>
      <c r="F264" s="1">
        <v>100</v>
      </c>
      <c r="G264" s="1">
        <f t="shared" si="46"/>
        <v>100.55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7BD7-942D-4EB2-B02C-C54B81EE4FA2}">
  <dimension ref="A1:G210"/>
  <sheetViews>
    <sheetView topLeftCell="A73" workbookViewId="0">
      <selection activeCell="D92" sqref="D92"/>
    </sheetView>
  </sheetViews>
  <sheetFormatPr baseColWidth="10" defaultRowHeight="15" x14ac:dyDescent="0.2"/>
  <cols>
    <col min="1" max="7" width="14.6640625" customWidth="1"/>
  </cols>
  <sheetData>
    <row r="1" spans="1:7" x14ac:dyDescent="0.2">
      <c r="A1" s="2" t="s">
        <v>0</v>
      </c>
      <c r="B1" s="2" t="s">
        <v>10</v>
      </c>
      <c r="C1" s="2" t="s">
        <v>11</v>
      </c>
      <c r="D1" s="2" t="s">
        <v>14</v>
      </c>
      <c r="E1" s="2" t="s">
        <v>12</v>
      </c>
      <c r="F1" s="2" t="s">
        <v>13</v>
      </c>
      <c r="G1" s="2" t="s">
        <v>15</v>
      </c>
    </row>
    <row r="2" spans="1:7" x14ac:dyDescent="0.2">
      <c r="A2" s="1" t="s">
        <v>68</v>
      </c>
      <c r="B2" s="3">
        <v>44078</v>
      </c>
      <c r="C2" s="1">
        <v>100</v>
      </c>
      <c r="D2" s="1">
        <v>0</v>
      </c>
      <c r="E2" s="1">
        <v>0</v>
      </c>
      <c r="F2" s="1">
        <v>0</v>
      </c>
      <c r="G2" s="1">
        <f>F2+E2</f>
        <v>0</v>
      </c>
    </row>
    <row r="3" spans="1:7" x14ac:dyDescent="0.2">
      <c r="A3" s="1" t="s">
        <v>68</v>
      </c>
      <c r="B3" s="3">
        <v>44386</v>
      </c>
      <c r="C3" s="1">
        <v>100</v>
      </c>
      <c r="D3" s="4">
        <v>0.01</v>
      </c>
      <c r="E3" s="5">
        <f t="shared" ref="E3:E19" si="0">((D3*C2)/360)*DAYS360(B2,B3)</f>
        <v>0.84722222222222221</v>
      </c>
      <c r="F3" s="1">
        <v>0</v>
      </c>
      <c r="G3" s="1">
        <f t="shared" ref="G3:G19" si="1">F3+E3</f>
        <v>0.84722222222222221</v>
      </c>
    </row>
    <row r="4" spans="1:7" x14ac:dyDescent="0.2">
      <c r="A4" s="1" t="s">
        <v>68</v>
      </c>
      <c r="B4" s="3">
        <v>44570</v>
      </c>
      <c r="C4" s="1">
        <v>100</v>
      </c>
      <c r="D4" s="4">
        <v>0.01</v>
      </c>
      <c r="E4" s="5">
        <f t="shared" si="0"/>
        <v>0.5</v>
      </c>
      <c r="F4" s="1">
        <v>0</v>
      </c>
      <c r="G4" s="1">
        <f t="shared" si="1"/>
        <v>0.5</v>
      </c>
    </row>
    <row r="5" spans="1:7" x14ac:dyDescent="0.2">
      <c r="A5" s="1" t="s">
        <v>68</v>
      </c>
      <c r="B5" s="3">
        <v>44751</v>
      </c>
      <c r="C5" s="1">
        <v>100</v>
      </c>
      <c r="D5" s="4">
        <v>0.01</v>
      </c>
      <c r="E5" s="5">
        <f t="shared" si="0"/>
        <v>0.5</v>
      </c>
      <c r="F5" s="1">
        <v>0</v>
      </c>
      <c r="G5" s="1">
        <f t="shared" si="1"/>
        <v>0.5</v>
      </c>
    </row>
    <row r="6" spans="1:7" x14ac:dyDescent="0.2">
      <c r="A6" s="1" t="s">
        <v>68</v>
      </c>
      <c r="B6" s="3">
        <v>44935</v>
      </c>
      <c r="C6" s="1">
        <v>100</v>
      </c>
      <c r="D6" s="4">
        <v>0.01</v>
      </c>
      <c r="E6" s="5">
        <f t="shared" si="0"/>
        <v>0.5</v>
      </c>
      <c r="F6" s="1">
        <v>0</v>
      </c>
      <c r="G6" s="1">
        <f t="shared" si="1"/>
        <v>0.5</v>
      </c>
    </row>
    <row r="7" spans="1:7" x14ac:dyDescent="0.2">
      <c r="A7" s="1" t="s">
        <v>68</v>
      </c>
      <c r="B7" s="3">
        <v>45116</v>
      </c>
      <c r="C7" s="1">
        <v>100</v>
      </c>
      <c r="D7" s="4">
        <v>0.01</v>
      </c>
      <c r="E7" s="5">
        <f t="shared" si="0"/>
        <v>0.5</v>
      </c>
      <c r="F7" s="1">
        <v>0</v>
      </c>
      <c r="G7" s="1">
        <f t="shared" si="1"/>
        <v>0.5</v>
      </c>
    </row>
    <row r="8" spans="1:7" x14ac:dyDescent="0.2">
      <c r="A8" s="1" t="s">
        <v>68</v>
      </c>
      <c r="B8" s="3">
        <v>45300</v>
      </c>
      <c r="C8" s="1">
        <v>100</v>
      </c>
      <c r="D8" s="4">
        <v>0.01</v>
      </c>
      <c r="E8" s="5">
        <f t="shared" si="0"/>
        <v>0.5</v>
      </c>
      <c r="F8" s="1">
        <v>0</v>
      </c>
      <c r="G8" s="1">
        <f t="shared" si="1"/>
        <v>0.5</v>
      </c>
    </row>
    <row r="9" spans="1:7" x14ac:dyDescent="0.2">
      <c r="A9" s="1" t="s">
        <v>68</v>
      </c>
      <c r="B9" s="3">
        <v>45482</v>
      </c>
      <c r="C9" s="1">
        <v>100</v>
      </c>
      <c r="D9" s="4">
        <v>0.01</v>
      </c>
      <c r="E9" s="5">
        <f t="shared" si="0"/>
        <v>0.5</v>
      </c>
      <c r="F9" s="1">
        <v>0</v>
      </c>
      <c r="G9" s="1">
        <f t="shared" si="1"/>
        <v>0.5</v>
      </c>
    </row>
    <row r="10" spans="1:7" x14ac:dyDescent="0.2">
      <c r="A10" s="1" t="s">
        <v>68</v>
      </c>
      <c r="B10" s="3">
        <v>45666</v>
      </c>
      <c r="C10" s="1">
        <f>C9-F10</f>
        <v>90</v>
      </c>
      <c r="D10" s="4">
        <v>0.01</v>
      </c>
      <c r="E10" s="5">
        <f t="shared" si="0"/>
        <v>0.5</v>
      </c>
      <c r="F10" s="1">
        <v>10</v>
      </c>
      <c r="G10" s="1">
        <f t="shared" si="1"/>
        <v>10.5</v>
      </c>
    </row>
    <row r="11" spans="1:7" x14ac:dyDescent="0.2">
      <c r="A11" s="1" t="s">
        <v>68</v>
      </c>
      <c r="B11" s="3">
        <v>45847</v>
      </c>
      <c r="C11" s="1">
        <f t="shared" ref="C11:C19" si="2">C10-F11</f>
        <v>80</v>
      </c>
      <c r="D11" s="4">
        <v>0.01</v>
      </c>
      <c r="E11" s="5">
        <f t="shared" si="0"/>
        <v>0.45</v>
      </c>
      <c r="F11" s="1">
        <v>10</v>
      </c>
      <c r="G11" s="1">
        <f t="shared" si="1"/>
        <v>10.45</v>
      </c>
    </row>
    <row r="12" spans="1:7" x14ac:dyDescent="0.2">
      <c r="A12" s="1" t="s">
        <v>68</v>
      </c>
      <c r="B12" s="3">
        <v>46031</v>
      </c>
      <c r="C12" s="1">
        <f t="shared" si="2"/>
        <v>70</v>
      </c>
      <c r="D12" s="4">
        <v>0.01</v>
      </c>
      <c r="E12" s="5">
        <f t="shared" si="0"/>
        <v>0.4</v>
      </c>
      <c r="F12" s="1">
        <v>10</v>
      </c>
      <c r="G12" s="1">
        <f t="shared" si="1"/>
        <v>10.4</v>
      </c>
    </row>
    <row r="13" spans="1:7" x14ac:dyDescent="0.2">
      <c r="A13" s="1" t="s">
        <v>68</v>
      </c>
      <c r="B13" s="3">
        <v>46212</v>
      </c>
      <c r="C13" s="1">
        <f t="shared" si="2"/>
        <v>60</v>
      </c>
      <c r="D13" s="4">
        <v>0.01</v>
      </c>
      <c r="E13" s="5">
        <f t="shared" si="0"/>
        <v>0.35000000000000003</v>
      </c>
      <c r="F13" s="1">
        <v>10</v>
      </c>
      <c r="G13" s="1">
        <f t="shared" si="1"/>
        <v>10.35</v>
      </c>
    </row>
    <row r="14" spans="1:7" x14ac:dyDescent="0.2">
      <c r="A14" s="1" t="s">
        <v>68</v>
      </c>
      <c r="B14" s="3">
        <v>46396</v>
      </c>
      <c r="C14" s="1">
        <f t="shared" si="2"/>
        <v>50</v>
      </c>
      <c r="D14" s="4">
        <v>0.01</v>
      </c>
      <c r="E14" s="5">
        <f t="shared" si="0"/>
        <v>0.3</v>
      </c>
      <c r="F14" s="1">
        <v>10</v>
      </c>
      <c r="G14" s="1">
        <f t="shared" si="1"/>
        <v>10.3</v>
      </c>
    </row>
    <row r="15" spans="1:7" x14ac:dyDescent="0.2">
      <c r="A15" s="1" t="s">
        <v>68</v>
      </c>
      <c r="B15" s="3">
        <v>46577</v>
      </c>
      <c r="C15" s="1">
        <f t="shared" si="2"/>
        <v>40</v>
      </c>
      <c r="D15" s="4">
        <v>0.01</v>
      </c>
      <c r="E15" s="5">
        <f t="shared" si="0"/>
        <v>0.25</v>
      </c>
      <c r="F15" s="1">
        <v>10</v>
      </c>
      <c r="G15" s="1">
        <f t="shared" si="1"/>
        <v>10.25</v>
      </c>
    </row>
    <row r="16" spans="1:7" x14ac:dyDescent="0.2">
      <c r="A16" s="1" t="s">
        <v>68</v>
      </c>
      <c r="B16" s="3">
        <v>46761</v>
      </c>
      <c r="C16" s="1">
        <f t="shared" si="2"/>
        <v>30</v>
      </c>
      <c r="D16" s="4">
        <v>0.01</v>
      </c>
      <c r="E16" s="5">
        <f t="shared" si="0"/>
        <v>0.2</v>
      </c>
      <c r="F16" s="1">
        <v>10</v>
      </c>
      <c r="G16" s="1">
        <f t="shared" si="1"/>
        <v>10.199999999999999</v>
      </c>
    </row>
    <row r="17" spans="1:7" x14ac:dyDescent="0.2">
      <c r="A17" s="1" t="s">
        <v>68</v>
      </c>
      <c r="B17" s="3">
        <v>46943</v>
      </c>
      <c r="C17" s="1">
        <f t="shared" si="2"/>
        <v>20</v>
      </c>
      <c r="D17" s="4">
        <v>0.01</v>
      </c>
      <c r="E17" s="5">
        <f t="shared" si="0"/>
        <v>0.15</v>
      </c>
      <c r="F17" s="1">
        <v>10</v>
      </c>
      <c r="G17" s="1">
        <f t="shared" si="1"/>
        <v>10.15</v>
      </c>
    </row>
    <row r="18" spans="1:7" x14ac:dyDescent="0.2">
      <c r="A18" s="1" t="s">
        <v>68</v>
      </c>
      <c r="B18" s="3">
        <v>47127</v>
      </c>
      <c r="C18" s="1">
        <f t="shared" si="2"/>
        <v>10</v>
      </c>
      <c r="D18" s="4">
        <v>0.01</v>
      </c>
      <c r="E18" s="5">
        <f t="shared" si="0"/>
        <v>0.1</v>
      </c>
      <c r="F18" s="1">
        <v>10</v>
      </c>
      <c r="G18" s="1">
        <f t="shared" si="1"/>
        <v>10.1</v>
      </c>
    </row>
    <row r="19" spans="1:7" x14ac:dyDescent="0.2">
      <c r="A19" s="1" t="s">
        <v>68</v>
      </c>
      <c r="B19" s="3">
        <v>47308</v>
      </c>
      <c r="C19" s="1">
        <f t="shared" si="2"/>
        <v>0</v>
      </c>
      <c r="D19" s="4">
        <v>0.01</v>
      </c>
      <c r="E19" s="5">
        <f t="shared" si="0"/>
        <v>0.05</v>
      </c>
      <c r="F19" s="1">
        <v>10</v>
      </c>
      <c r="G19" s="1">
        <f t="shared" si="1"/>
        <v>10.050000000000001</v>
      </c>
    </row>
    <row r="21" spans="1:7" x14ac:dyDescent="0.2">
      <c r="A21" s="2" t="s">
        <v>0</v>
      </c>
      <c r="B21" s="2" t="s">
        <v>10</v>
      </c>
      <c r="C21" s="2" t="s">
        <v>11</v>
      </c>
      <c r="D21" s="2" t="s">
        <v>14</v>
      </c>
      <c r="E21" s="2" t="s">
        <v>12</v>
      </c>
      <c r="F21" s="2" t="s">
        <v>13</v>
      </c>
      <c r="G21" s="2" t="s">
        <v>15</v>
      </c>
    </row>
    <row r="22" spans="1:7" x14ac:dyDescent="0.2">
      <c r="A22" s="1" t="s">
        <v>69</v>
      </c>
      <c r="B22" s="3">
        <v>44078</v>
      </c>
      <c r="C22" s="1">
        <v>100</v>
      </c>
      <c r="D22" s="1">
        <v>0</v>
      </c>
      <c r="E22" s="1">
        <v>0</v>
      </c>
      <c r="F22" s="1">
        <v>0</v>
      </c>
      <c r="G22" s="1">
        <f>F22+E22</f>
        <v>0</v>
      </c>
    </row>
    <row r="23" spans="1:7" x14ac:dyDescent="0.2">
      <c r="A23" s="1" t="s">
        <v>69</v>
      </c>
      <c r="B23" s="3">
        <v>44386</v>
      </c>
      <c r="C23" s="1">
        <v>100</v>
      </c>
      <c r="D23" s="4">
        <v>1.25E-3</v>
      </c>
      <c r="E23" s="5">
        <f t="shared" ref="E23:E41" si="3">((D23*C22)/360)*DAYS360(B22,B23)</f>
        <v>0.10590277777777778</v>
      </c>
      <c r="F23" s="1">
        <v>0</v>
      </c>
      <c r="G23" s="1">
        <f t="shared" ref="G23:G41" si="4">F23+E23</f>
        <v>0.10590277777777778</v>
      </c>
    </row>
    <row r="24" spans="1:7" x14ac:dyDescent="0.2">
      <c r="A24" s="1" t="s">
        <v>69</v>
      </c>
      <c r="B24" s="3">
        <v>44570</v>
      </c>
      <c r="C24" s="1">
        <v>100</v>
      </c>
      <c r="D24" s="4">
        <v>5.0000000000000001E-3</v>
      </c>
      <c r="E24" s="5">
        <f t="shared" si="3"/>
        <v>0.25</v>
      </c>
      <c r="F24" s="1">
        <v>0</v>
      </c>
      <c r="G24" s="1">
        <f t="shared" si="4"/>
        <v>0.25</v>
      </c>
    </row>
    <row r="25" spans="1:7" x14ac:dyDescent="0.2">
      <c r="A25" s="1" t="s">
        <v>69</v>
      </c>
      <c r="B25" s="3">
        <v>44751</v>
      </c>
      <c r="C25" s="1">
        <v>100</v>
      </c>
      <c r="D25" s="4">
        <v>5.0000000000000001E-3</v>
      </c>
      <c r="E25" s="5">
        <f t="shared" si="3"/>
        <v>0.25</v>
      </c>
      <c r="F25" s="1">
        <v>0</v>
      </c>
      <c r="G25" s="1">
        <f t="shared" si="4"/>
        <v>0.25</v>
      </c>
    </row>
    <row r="26" spans="1:7" x14ac:dyDescent="0.2">
      <c r="A26" s="1" t="s">
        <v>69</v>
      </c>
      <c r="B26" s="3">
        <v>44935</v>
      </c>
      <c r="C26" s="1">
        <v>100</v>
      </c>
      <c r="D26" s="4">
        <v>5.0000000000000001E-3</v>
      </c>
      <c r="E26" s="5">
        <f t="shared" si="3"/>
        <v>0.25</v>
      </c>
      <c r="F26" s="1">
        <v>0</v>
      </c>
      <c r="G26" s="1">
        <f t="shared" si="4"/>
        <v>0.25</v>
      </c>
    </row>
    <row r="27" spans="1:7" x14ac:dyDescent="0.2">
      <c r="A27" s="1" t="s">
        <v>69</v>
      </c>
      <c r="B27" s="3">
        <v>45116</v>
      </c>
      <c r="C27" s="1">
        <v>100</v>
      </c>
      <c r="D27" s="4">
        <v>5.0000000000000001E-3</v>
      </c>
      <c r="E27" s="5">
        <f t="shared" si="3"/>
        <v>0.25</v>
      </c>
      <c r="F27" s="1">
        <v>0</v>
      </c>
      <c r="G27" s="1">
        <f t="shared" si="4"/>
        <v>0.25</v>
      </c>
    </row>
    <row r="28" spans="1:7" x14ac:dyDescent="0.2">
      <c r="A28" s="1" t="s">
        <v>69</v>
      </c>
      <c r="B28" s="3">
        <v>45300</v>
      </c>
      <c r="C28" s="1">
        <v>100</v>
      </c>
      <c r="D28" s="4">
        <v>7.4999999999999997E-3</v>
      </c>
      <c r="E28" s="5">
        <f t="shared" si="3"/>
        <v>0.375</v>
      </c>
      <c r="F28" s="1">
        <v>0</v>
      </c>
      <c r="G28" s="1">
        <f t="shared" si="4"/>
        <v>0.375</v>
      </c>
    </row>
    <row r="29" spans="1:7" x14ac:dyDescent="0.2">
      <c r="A29" s="1" t="s">
        <v>69</v>
      </c>
      <c r="B29" s="3">
        <v>45482</v>
      </c>
      <c r="C29" s="1">
        <f>C28-F29</f>
        <v>96</v>
      </c>
      <c r="D29" s="4">
        <v>7.4999999999999997E-3</v>
      </c>
      <c r="E29" s="5">
        <f t="shared" si="3"/>
        <v>0.375</v>
      </c>
      <c r="F29" s="1">
        <v>4</v>
      </c>
      <c r="G29" s="1">
        <f t="shared" si="4"/>
        <v>4.375</v>
      </c>
    </row>
    <row r="30" spans="1:7" x14ac:dyDescent="0.2">
      <c r="A30" s="1" t="s">
        <v>69</v>
      </c>
      <c r="B30" s="3">
        <v>45666</v>
      </c>
      <c r="C30" s="1">
        <f t="shared" ref="C30:C41" si="5">C29-F30</f>
        <v>88</v>
      </c>
      <c r="D30" s="4">
        <v>7.4999999999999997E-3</v>
      </c>
      <c r="E30" s="5">
        <f t="shared" si="3"/>
        <v>0.36</v>
      </c>
      <c r="F30" s="1">
        <v>8</v>
      </c>
      <c r="G30" s="1">
        <f t="shared" si="4"/>
        <v>8.36</v>
      </c>
    </row>
    <row r="31" spans="1:7" x14ac:dyDescent="0.2">
      <c r="A31" s="1" t="s">
        <v>69</v>
      </c>
      <c r="B31" s="3">
        <v>45847</v>
      </c>
      <c r="C31" s="1">
        <f t="shared" si="5"/>
        <v>80</v>
      </c>
      <c r="D31" s="4">
        <v>7.4999999999999997E-3</v>
      </c>
      <c r="E31" s="5">
        <f t="shared" si="3"/>
        <v>0.32999999999999996</v>
      </c>
      <c r="F31" s="1">
        <v>8</v>
      </c>
      <c r="G31" s="1">
        <f t="shared" si="4"/>
        <v>8.33</v>
      </c>
    </row>
    <row r="32" spans="1:7" x14ac:dyDescent="0.2">
      <c r="A32" s="1" t="s">
        <v>69</v>
      </c>
      <c r="B32" s="3">
        <v>46031</v>
      </c>
      <c r="C32" s="1">
        <f t="shared" si="5"/>
        <v>72</v>
      </c>
      <c r="D32" s="4">
        <v>7.4999999999999997E-3</v>
      </c>
      <c r="E32" s="5">
        <f t="shared" si="3"/>
        <v>0.3</v>
      </c>
      <c r="F32" s="1">
        <v>8</v>
      </c>
      <c r="G32" s="1">
        <f t="shared" si="4"/>
        <v>8.3000000000000007</v>
      </c>
    </row>
    <row r="33" spans="1:7" x14ac:dyDescent="0.2">
      <c r="A33" s="1" t="s">
        <v>69</v>
      </c>
      <c r="B33" s="3">
        <v>46212</v>
      </c>
      <c r="C33" s="1">
        <f t="shared" si="5"/>
        <v>64</v>
      </c>
      <c r="D33" s="4">
        <v>7.4999999999999997E-3</v>
      </c>
      <c r="E33" s="5">
        <f t="shared" si="3"/>
        <v>0.27</v>
      </c>
      <c r="F33" s="1">
        <v>8</v>
      </c>
      <c r="G33" s="1">
        <f t="shared" si="4"/>
        <v>8.27</v>
      </c>
    </row>
    <row r="34" spans="1:7" x14ac:dyDescent="0.2">
      <c r="A34" s="1" t="s">
        <v>69</v>
      </c>
      <c r="B34" s="3">
        <v>46396</v>
      </c>
      <c r="C34" s="1">
        <f t="shared" si="5"/>
        <v>56</v>
      </c>
      <c r="D34" s="4">
        <v>7.4999999999999997E-3</v>
      </c>
      <c r="E34" s="5">
        <f t="shared" si="3"/>
        <v>0.24</v>
      </c>
      <c r="F34" s="1">
        <v>8</v>
      </c>
      <c r="G34" s="1">
        <f t="shared" si="4"/>
        <v>8.24</v>
      </c>
    </row>
    <row r="35" spans="1:7" x14ac:dyDescent="0.2">
      <c r="A35" s="1" t="s">
        <v>69</v>
      </c>
      <c r="B35" s="3">
        <v>46577</v>
      </c>
      <c r="C35" s="1">
        <f t="shared" si="5"/>
        <v>48</v>
      </c>
      <c r="D35" s="4">
        <v>7.4999999999999997E-3</v>
      </c>
      <c r="E35" s="5">
        <f t="shared" si="3"/>
        <v>0.20999999999999996</v>
      </c>
      <c r="F35" s="1">
        <v>8</v>
      </c>
      <c r="G35" s="1">
        <f t="shared" si="4"/>
        <v>8.2100000000000009</v>
      </c>
    </row>
    <row r="36" spans="1:7" x14ac:dyDescent="0.2">
      <c r="A36" s="1" t="s">
        <v>69</v>
      </c>
      <c r="B36" s="3">
        <v>46761</v>
      </c>
      <c r="C36" s="1">
        <f t="shared" si="5"/>
        <v>40</v>
      </c>
      <c r="D36" s="4">
        <v>1.7500000000000002E-2</v>
      </c>
      <c r="E36" s="5">
        <f t="shared" si="3"/>
        <v>0.42000000000000004</v>
      </c>
      <c r="F36" s="1">
        <v>8</v>
      </c>
      <c r="G36" s="1">
        <f t="shared" si="4"/>
        <v>8.42</v>
      </c>
    </row>
    <row r="37" spans="1:7" x14ac:dyDescent="0.2">
      <c r="A37" s="1" t="s">
        <v>69</v>
      </c>
      <c r="B37" s="3">
        <v>46943</v>
      </c>
      <c r="C37" s="1">
        <f t="shared" si="5"/>
        <v>32</v>
      </c>
      <c r="D37" s="4">
        <v>1.7500000000000002E-2</v>
      </c>
      <c r="E37" s="5">
        <f t="shared" si="3"/>
        <v>0.35000000000000003</v>
      </c>
      <c r="F37" s="1">
        <v>8</v>
      </c>
      <c r="G37" s="1">
        <f t="shared" si="4"/>
        <v>8.35</v>
      </c>
    </row>
    <row r="38" spans="1:7" x14ac:dyDescent="0.2">
      <c r="A38" s="1" t="s">
        <v>69</v>
      </c>
      <c r="B38" s="3">
        <v>47127</v>
      </c>
      <c r="C38" s="1">
        <f t="shared" si="5"/>
        <v>24</v>
      </c>
      <c r="D38" s="4">
        <v>1.7500000000000002E-2</v>
      </c>
      <c r="E38" s="5">
        <f t="shared" si="3"/>
        <v>0.28000000000000003</v>
      </c>
      <c r="F38" s="1">
        <v>8</v>
      </c>
      <c r="G38" s="1">
        <f t="shared" si="4"/>
        <v>8.2799999999999994</v>
      </c>
    </row>
    <row r="39" spans="1:7" x14ac:dyDescent="0.2">
      <c r="A39" s="1" t="s">
        <v>69</v>
      </c>
      <c r="B39" s="3">
        <v>47308</v>
      </c>
      <c r="C39" s="1">
        <f t="shared" si="5"/>
        <v>16</v>
      </c>
      <c r="D39" s="4">
        <v>1.7500000000000002E-2</v>
      </c>
      <c r="E39" s="5">
        <f t="shared" si="3"/>
        <v>0.21000000000000002</v>
      </c>
      <c r="F39" s="1">
        <v>8</v>
      </c>
      <c r="G39" s="1">
        <f t="shared" si="4"/>
        <v>8.2100000000000009</v>
      </c>
    </row>
    <row r="40" spans="1:7" x14ac:dyDescent="0.2">
      <c r="A40" s="1" t="s">
        <v>69</v>
      </c>
      <c r="B40" s="3">
        <v>47492</v>
      </c>
      <c r="C40" s="1">
        <f t="shared" si="5"/>
        <v>8</v>
      </c>
      <c r="D40" s="4">
        <v>1.7500000000000002E-2</v>
      </c>
      <c r="E40" s="5">
        <f t="shared" si="3"/>
        <v>0.14000000000000001</v>
      </c>
      <c r="F40" s="1">
        <v>8</v>
      </c>
      <c r="G40" s="1">
        <f t="shared" si="4"/>
        <v>8.14</v>
      </c>
    </row>
    <row r="41" spans="1:7" x14ac:dyDescent="0.2">
      <c r="A41" s="1" t="s">
        <v>69</v>
      </c>
      <c r="B41" s="3">
        <v>47673</v>
      </c>
      <c r="C41" s="1">
        <f t="shared" si="5"/>
        <v>0</v>
      </c>
      <c r="D41" s="4">
        <v>1.7500000000000002E-2</v>
      </c>
      <c r="E41" s="5">
        <f t="shared" si="3"/>
        <v>7.0000000000000007E-2</v>
      </c>
      <c r="F41" s="1">
        <v>8</v>
      </c>
      <c r="G41" s="1">
        <f t="shared" si="4"/>
        <v>8.07</v>
      </c>
    </row>
    <row r="43" spans="1:7" x14ac:dyDescent="0.2">
      <c r="A43" s="2" t="s">
        <v>0</v>
      </c>
      <c r="B43" s="2" t="s">
        <v>10</v>
      </c>
      <c r="C43" s="2" t="s">
        <v>11</v>
      </c>
      <c r="D43" s="2" t="s">
        <v>14</v>
      </c>
      <c r="E43" s="2" t="s">
        <v>12</v>
      </c>
      <c r="F43" s="2" t="s">
        <v>13</v>
      </c>
      <c r="G43" s="2" t="s">
        <v>15</v>
      </c>
    </row>
    <row r="44" spans="1:7" x14ac:dyDescent="0.2">
      <c r="A44" s="1" t="s">
        <v>70</v>
      </c>
      <c r="B44" s="3">
        <v>44078</v>
      </c>
      <c r="C44" s="1">
        <v>100</v>
      </c>
      <c r="D44" s="1">
        <v>0</v>
      </c>
      <c r="E44" s="1">
        <v>0</v>
      </c>
      <c r="F44" s="1">
        <v>0</v>
      </c>
      <c r="G44" s="1">
        <f>F44+E44</f>
        <v>0</v>
      </c>
    </row>
    <row r="45" spans="1:7" x14ac:dyDescent="0.2">
      <c r="A45" s="1" t="s">
        <v>70</v>
      </c>
      <c r="B45" s="3">
        <v>44386</v>
      </c>
      <c r="C45" s="1">
        <v>100</v>
      </c>
      <c r="D45" s="4">
        <v>1.25E-3</v>
      </c>
      <c r="E45" s="5">
        <f t="shared" ref="E45:E73" si="6">((D45*C44)/360)*DAYS360(B44,B45)</f>
        <v>0.10590277777777778</v>
      </c>
      <c r="F45" s="1">
        <v>0</v>
      </c>
      <c r="G45" s="1">
        <f t="shared" ref="G45:G73" si="7">F45+E45</f>
        <v>0.10590277777777778</v>
      </c>
    </row>
    <row r="46" spans="1:7" x14ac:dyDescent="0.2">
      <c r="A46" s="1" t="s">
        <v>70</v>
      </c>
      <c r="B46" s="3">
        <v>44570</v>
      </c>
      <c r="C46" s="1">
        <v>100</v>
      </c>
      <c r="D46" s="4">
        <v>1.125E-2</v>
      </c>
      <c r="E46" s="5">
        <f t="shared" si="6"/>
        <v>0.5625</v>
      </c>
      <c r="F46" s="1">
        <v>0</v>
      </c>
      <c r="G46" s="1">
        <f t="shared" si="7"/>
        <v>0.5625</v>
      </c>
    </row>
    <row r="47" spans="1:7" x14ac:dyDescent="0.2">
      <c r="A47" s="1" t="s">
        <v>70</v>
      </c>
      <c r="B47" s="3">
        <v>44751</v>
      </c>
      <c r="C47" s="1">
        <v>100</v>
      </c>
      <c r="D47" s="4">
        <v>1.125E-2</v>
      </c>
      <c r="E47" s="5">
        <f t="shared" si="6"/>
        <v>0.5625</v>
      </c>
      <c r="F47" s="1">
        <v>0</v>
      </c>
      <c r="G47" s="1">
        <f t="shared" si="7"/>
        <v>0.5625</v>
      </c>
    </row>
    <row r="48" spans="1:7" x14ac:dyDescent="0.2">
      <c r="A48" s="1" t="s">
        <v>70</v>
      </c>
      <c r="B48" s="3">
        <v>44935</v>
      </c>
      <c r="C48" s="1">
        <v>100</v>
      </c>
      <c r="D48" s="4">
        <v>1.4999999999999999E-2</v>
      </c>
      <c r="E48" s="5">
        <f t="shared" si="6"/>
        <v>0.75</v>
      </c>
      <c r="F48" s="1">
        <v>0</v>
      </c>
      <c r="G48" s="1">
        <f t="shared" si="7"/>
        <v>0.75</v>
      </c>
    </row>
    <row r="49" spans="1:7" x14ac:dyDescent="0.2">
      <c r="A49" s="1" t="s">
        <v>70</v>
      </c>
      <c r="B49" s="3">
        <v>45116</v>
      </c>
      <c r="C49" s="1">
        <v>100</v>
      </c>
      <c r="D49" s="4">
        <v>1.4999999999999999E-2</v>
      </c>
      <c r="E49" s="5">
        <f t="shared" si="6"/>
        <v>0.75</v>
      </c>
      <c r="F49" s="1">
        <v>0</v>
      </c>
      <c r="G49" s="1">
        <f t="shared" si="7"/>
        <v>0.75</v>
      </c>
    </row>
    <row r="50" spans="1:7" x14ac:dyDescent="0.2">
      <c r="A50" s="1" t="s">
        <v>70</v>
      </c>
      <c r="B50" s="3">
        <v>45300</v>
      </c>
      <c r="C50" s="1">
        <v>100</v>
      </c>
      <c r="D50" s="4">
        <v>3.6249999999999998E-2</v>
      </c>
      <c r="E50" s="5">
        <f t="shared" si="6"/>
        <v>1.8124999999999998</v>
      </c>
      <c r="F50" s="1">
        <v>0</v>
      </c>
      <c r="G50" s="1">
        <f t="shared" si="7"/>
        <v>1.8124999999999998</v>
      </c>
    </row>
    <row r="51" spans="1:7" x14ac:dyDescent="0.2">
      <c r="A51" s="1" t="s">
        <v>70</v>
      </c>
      <c r="B51" s="3">
        <v>45482</v>
      </c>
      <c r="C51" s="1">
        <v>100</v>
      </c>
      <c r="D51" s="4">
        <v>3.6249999999999998E-2</v>
      </c>
      <c r="E51" s="5">
        <f t="shared" si="6"/>
        <v>1.8124999999999998</v>
      </c>
      <c r="F51" s="1">
        <v>0</v>
      </c>
      <c r="G51" s="1">
        <f t="shared" si="7"/>
        <v>1.8124999999999998</v>
      </c>
    </row>
    <row r="52" spans="1:7" x14ac:dyDescent="0.2">
      <c r="A52" s="1" t="s">
        <v>70</v>
      </c>
      <c r="B52" s="3">
        <v>45666</v>
      </c>
      <c r="C52" s="1">
        <v>100</v>
      </c>
      <c r="D52" s="4">
        <v>4.1250000000000002E-2</v>
      </c>
      <c r="E52" s="5">
        <f t="shared" si="6"/>
        <v>2.0625</v>
      </c>
      <c r="F52" s="1">
        <v>0</v>
      </c>
      <c r="G52" s="1">
        <f t="shared" si="7"/>
        <v>2.0625</v>
      </c>
    </row>
    <row r="53" spans="1:7" x14ac:dyDescent="0.2">
      <c r="A53" s="1" t="s">
        <v>70</v>
      </c>
      <c r="B53" s="3">
        <v>45847</v>
      </c>
      <c r="C53" s="1">
        <v>100</v>
      </c>
      <c r="D53" s="4">
        <v>4.1250000000000002E-2</v>
      </c>
      <c r="E53" s="5">
        <f t="shared" si="6"/>
        <v>2.0625</v>
      </c>
      <c r="F53" s="1">
        <v>0</v>
      </c>
      <c r="G53" s="1">
        <f t="shared" si="7"/>
        <v>2.0625</v>
      </c>
    </row>
    <row r="54" spans="1:7" x14ac:dyDescent="0.2">
      <c r="A54" s="1" t="s">
        <v>70</v>
      </c>
      <c r="B54" s="3">
        <v>46031</v>
      </c>
      <c r="C54" s="1">
        <v>100</v>
      </c>
      <c r="D54" s="4">
        <v>4.1250000000000002E-2</v>
      </c>
      <c r="E54" s="5">
        <f t="shared" si="6"/>
        <v>2.0625</v>
      </c>
      <c r="F54" s="1">
        <v>0</v>
      </c>
      <c r="G54" s="1">
        <f t="shared" si="7"/>
        <v>2.0625</v>
      </c>
    </row>
    <row r="55" spans="1:7" x14ac:dyDescent="0.2">
      <c r="A55" s="1" t="s">
        <v>70</v>
      </c>
      <c r="B55" s="3">
        <v>46212</v>
      </c>
      <c r="C55" s="1">
        <v>100</v>
      </c>
      <c r="D55" s="4">
        <v>4.1250000000000002E-2</v>
      </c>
      <c r="E55" s="5">
        <f t="shared" si="6"/>
        <v>2.0625</v>
      </c>
      <c r="F55" s="1">
        <v>0</v>
      </c>
      <c r="G55" s="1">
        <f t="shared" si="7"/>
        <v>2.0625</v>
      </c>
    </row>
    <row r="56" spans="1:7" x14ac:dyDescent="0.2">
      <c r="A56" s="1" t="s">
        <v>70</v>
      </c>
      <c r="B56" s="3">
        <v>46396</v>
      </c>
      <c r="C56" s="1">
        <v>100</v>
      </c>
      <c r="D56" s="4">
        <v>4.1250000000000002E-2</v>
      </c>
      <c r="E56" s="5">
        <f t="shared" si="6"/>
        <v>2.0625</v>
      </c>
      <c r="F56" s="1">
        <v>0</v>
      </c>
      <c r="G56" s="1">
        <f t="shared" si="7"/>
        <v>2.0625</v>
      </c>
    </row>
    <row r="57" spans="1:7" x14ac:dyDescent="0.2">
      <c r="A57" s="1" t="s">
        <v>70</v>
      </c>
      <c r="B57" s="3">
        <v>46577</v>
      </c>
      <c r="C57" s="1">
        <v>100</v>
      </c>
      <c r="D57" s="4">
        <v>4.1250000000000002E-2</v>
      </c>
      <c r="E57" s="5">
        <f t="shared" si="6"/>
        <v>2.0625</v>
      </c>
      <c r="F57" s="1">
        <v>0</v>
      </c>
      <c r="G57" s="1">
        <f t="shared" si="7"/>
        <v>2.0625</v>
      </c>
    </row>
    <row r="58" spans="1:7" x14ac:dyDescent="0.2">
      <c r="A58" s="1" t="s">
        <v>70</v>
      </c>
      <c r="B58" s="3">
        <v>46761</v>
      </c>
      <c r="C58" s="1">
        <v>100</v>
      </c>
      <c r="D58" s="4">
        <v>4.7500000000000001E-2</v>
      </c>
      <c r="E58" s="5">
        <f t="shared" si="6"/>
        <v>2.375</v>
      </c>
      <c r="F58" s="1">
        <v>0</v>
      </c>
      <c r="G58" s="1">
        <f t="shared" si="7"/>
        <v>2.375</v>
      </c>
    </row>
    <row r="59" spans="1:7" x14ac:dyDescent="0.2">
      <c r="A59" s="1" t="s">
        <v>70</v>
      </c>
      <c r="B59" s="3">
        <v>46943</v>
      </c>
      <c r="C59" s="1">
        <v>100</v>
      </c>
      <c r="D59" s="4">
        <v>4.7500000000000001E-2</v>
      </c>
      <c r="E59" s="5">
        <f t="shared" si="6"/>
        <v>2.375</v>
      </c>
      <c r="F59" s="1">
        <v>0</v>
      </c>
      <c r="G59" s="1">
        <f t="shared" si="7"/>
        <v>2.375</v>
      </c>
    </row>
    <row r="60" spans="1:7" x14ac:dyDescent="0.2">
      <c r="A60" s="1" t="s">
        <v>70</v>
      </c>
      <c r="B60" s="3">
        <v>47127</v>
      </c>
      <c r="C60" s="1">
        <v>100</v>
      </c>
      <c r="D60" s="4">
        <v>0.05</v>
      </c>
      <c r="E60" s="5">
        <f t="shared" si="6"/>
        <v>2.5</v>
      </c>
      <c r="F60" s="1">
        <v>0</v>
      </c>
      <c r="G60" s="1">
        <f t="shared" si="7"/>
        <v>2.5</v>
      </c>
    </row>
    <row r="61" spans="1:7" x14ac:dyDescent="0.2">
      <c r="A61" s="1" t="s">
        <v>70</v>
      </c>
      <c r="B61" s="3">
        <v>47308</v>
      </c>
      <c r="C61" s="1">
        <v>100</v>
      </c>
      <c r="D61" s="4">
        <v>0.05</v>
      </c>
      <c r="E61" s="5">
        <f t="shared" si="6"/>
        <v>2.5</v>
      </c>
      <c r="F61" s="1">
        <v>0</v>
      </c>
      <c r="G61" s="1">
        <f t="shared" si="7"/>
        <v>2.5</v>
      </c>
    </row>
    <row r="62" spans="1:7" x14ac:dyDescent="0.2">
      <c r="A62" s="1" t="s">
        <v>70</v>
      </c>
      <c r="B62" s="3">
        <v>47492</v>
      </c>
      <c r="C62" s="1">
        <v>100</v>
      </c>
      <c r="D62" s="4">
        <v>0.05</v>
      </c>
      <c r="E62" s="5">
        <f t="shared" si="6"/>
        <v>2.5</v>
      </c>
      <c r="F62" s="1">
        <v>0</v>
      </c>
      <c r="G62" s="1">
        <f t="shared" si="7"/>
        <v>2.5</v>
      </c>
    </row>
    <row r="63" spans="1:7" x14ac:dyDescent="0.2">
      <c r="A63" s="1" t="s">
        <v>70</v>
      </c>
      <c r="B63" s="3">
        <v>47673</v>
      </c>
      <c r="C63" s="1">
        <v>100</v>
      </c>
      <c r="D63" s="4">
        <v>0.05</v>
      </c>
      <c r="E63" s="5">
        <f t="shared" si="6"/>
        <v>2.5</v>
      </c>
      <c r="F63" s="1">
        <v>0</v>
      </c>
      <c r="G63" s="1">
        <f t="shared" si="7"/>
        <v>2.5</v>
      </c>
    </row>
    <row r="64" spans="1:7" x14ac:dyDescent="0.2">
      <c r="A64" s="1" t="s">
        <v>70</v>
      </c>
      <c r="B64" s="3">
        <v>47857</v>
      </c>
      <c r="C64" s="1">
        <f>C63-F64</f>
        <v>90</v>
      </c>
      <c r="D64" s="4">
        <v>0.05</v>
      </c>
      <c r="E64" s="5">
        <f t="shared" si="6"/>
        <v>2.5</v>
      </c>
      <c r="F64" s="1">
        <v>10</v>
      </c>
      <c r="G64" s="1">
        <f t="shared" si="7"/>
        <v>12.5</v>
      </c>
    </row>
    <row r="65" spans="1:7" x14ac:dyDescent="0.2">
      <c r="A65" s="1" t="s">
        <v>70</v>
      </c>
      <c r="B65" s="3">
        <v>48038</v>
      </c>
      <c r="C65" s="1">
        <f t="shared" ref="C65:C73" si="8">C64-F65</f>
        <v>80</v>
      </c>
      <c r="D65" s="4">
        <v>0.05</v>
      </c>
      <c r="E65" s="5">
        <f t="shared" si="6"/>
        <v>2.25</v>
      </c>
      <c r="F65" s="1">
        <v>10</v>
      </c>
      <c r="G65" s="1">
        <f t="shared" si="7"/>
        <v>12.25</v>
      </c>
    </row>
    <row r="66" spans="1:7" x14ac:dyDescent="0.2">
      <c r="A66" s="1" t="s">
        <v>70</v>
      </c>
      <c r="B66" s="3">
        <v>48222</v>
      </c>
      <c r="C66" s="1">
        <f t="shared" si="8"/>
        <v>70</v>
      </c>
      <c r="D66" s="4">
        <v>0.05</v>
      </c>
      <c r="E66" s="5">
        <f t="shared" si="6"/>
        <v>2</v>
      </c>
      <c r="F66" s="1">
        <v>10</v>
      </c>
      <c r="G66" s="1">
        <f t="shared" si="7"/>
        <v>12</v>
      </c>
    </row>
    <row r="67" spans="1:7" x14ac:dyDescent="0.2">
      <c r="A67" s="1" t="s">
        <v>70</v>
      </c>
      <c r="B67" s="3">
        <v>48404</v>
      </c>
      <c r="C67" s="1">
        <f t="shared" si="8"/>
        <v>60</v>
      </c>
      <c r="D67" s="4">
        <v>0.05</v>
      </c>
      <c r="E67" s="5">
        <f t="shared" si="6"/>
        <v>1.75</v>
      </c>
      <c r="F67" s="1">
        <v>10</v>
      </c>
      <c r="G67" s="1">
        <f t="shared" si="7"/>
        <v>11.75</v>
      </c>
    </row>
    <row r="68" spans="1:7" x14ac:dyDescent="0.2">
      <c r="A68" s="1" t="s">
        <v>70</v>
      </c>
      <c r="B68" s="3">
        <v>48588</v>
      </c>
      <c r="C68" s="1">
        <f t="shared" si="8"/>
        <v>50</v>
      </c>
      <c r="D68" s="4">
        <v>0.05</v>
      </c>
      <c r="E68" s="5">
        <f t="shared" si="6"/>
        <v>1.5</v>
      </c>
      <c r="F68" s="1">
        <v>10</v>
      </c>
      <c r="G68" s="1">
        <f t="shared" si="7"/>
        <v>11.5</v>
      </c>
    </row>
    <row r="69" spans="1:7" x14ac:dyDescent="0.2">
      <c r="A69" s="1" t="s">
        <v>70</v>
      </c>
      <c r="B69" s="3">
        <v>48769</v>
      </c>
      <c r="C69" s="1">
        <f t="shared" si="8"/>
        <v>40</v>
      </c>
      <c r="D69" s="4">
        <v>0.05</v>
      </c>
      <c r="E69" s="5">
        <f t="shared" si="6"/>
        <v>1.25</v>
      </c>
      <c r="F69" s="1">
        <v>10</v>
      </c>
      <c r="G69" s="1">
        <f t="shared" si="7"/>
        <v>11.25</v>
      </c>
    </row>
    <row r="70" spans="1:7" x14ac:dyDescent="0.2">
      <c r="A70" s="1" t="s">
        <v>70</v>
      </c>
      <c r="B70" s="3">
        <v>48953</v>
      </c>
      <c r="C70" s="1">
        <f t="shared" si="8"/>
        <v>30</v>
      </c>
      <c r="D70" s="4">
        <v>0.05</v>
      </c>
      <c r="E70" s="5">
        <f t="shared" si="6"/>
        <v>1</v>
      </c>
      <c r="F70" s="1">
        <v>10</v>
      </c>
      <c r="G70" s="1">
        <f t="shared" si="7"/>
        <v>11</v>
      </c>
    </row>
    <row r="71" spans="1:7" x14ac:dyDescent="0.2">
      <c r="A71" s="1" t="s">
        <v>70</v>
      </c>
      <c r="B71" s="3">
        <v>49134</v>
      </c>
      <c r="C71" s="1">
        <f t="shared" si="8"/>
        <v>20</v>
      </c>
      <c r="D71" s="4">
        <v>0.05</v>
      </c>
      <c r="E71" s="5">
        <f t="shared" si="6"/>
        <v>0.75</v>
      </c>
      <c r="F71" s="1">
        <v>10</v>
      </c>
      <c r="G71" s="1">
        <f t="shared" si="7"/>
        <v>10.75</v>
      </c>
    </row>
    <row r="72" spans="1:7" x14ac:dyDescent="0.2">
      <c r="A72" s="1" t="s">
        <v>70</v>
      </c>
      <c r="B72" s="3">
        <v>49318</v>
      </c>
      <c r="C72" s="1">
        <f t="shared" si="8"/>
        <v>10</v>
      </c>
      <c r="D72" s="4">
        <v>0.05</v>
      </c>
      <c r="E72" s="5">
        <f t="shared" si="6"/>
        <v>0.5</v>
      </c>
      <c r="F72" s="1">
        <v>10</v>
      </c>
      <c r="G72" s="1">
        <f t="shared" si="7"/>
        <v>10.5</v>
      </c>
    </row>
    <row r="73" spans="1:7" x14ac:dyDescent="0.2">
      <c r="A73" s="1" t="s">
        <v>70</v>
      </c>
      <c r="B73" s="3">
        <v>49499</v>
      </c>
      <c r="C73" s="1">
        <f t="shared" si="8"/>
        <v>0</v>
      </c>
      <c r="D73" s="4">
        <v>0.05</v>
      </c>
      <c r="E73" s="5">
        <f t="shared" si="6"/>
        <v>0.25</v>
      </c>
      <c r="F73" s="1">
        <v>10</v>
      </c>
      <c r="G73" s="1">
        <f t="shared" si="7"/>
        <v>10.25</v>
      </c>
    </row>
    <row r="74" spans="1:7" x14ac:dyDescent="0.2">
      <c r="A74" s="1"/>
      <c r="B74" s="3"/>
      <c r="C74" s="1"/>
      <c r="D74" s="4"/>
      <c r="E74" s="5"/>
      <c r="F74" s="1"/>
      <c r="G74" s="1"/>
    </row>
    <row r="75" spans="1:7" x14ac:dyDescent="0.2">
      <c r="A75" s="2" t="s">
        <v>0</v>
      </c>
      <c r="B75" s="2" t="s">
        <v>10</v>
      </c>
      <c r="C75" s="2" t="s">
        <v>11</v>
      </c>
      <c r="D75" s="2" t="s">
        <v>14</v>
      </c>
      <c r="E75" s="2" t="s">
        <v>12</v>
      </c>
      <c r="F75" s="2" t="s">
        <v>13</v>
      </c>
      <c r="G75" s="2" t="s">
        <v>15</v>
      </c>
    </row>
    <row r="76" spans="1:7" x14ac:dyDescent="0.2">
      <c r="A76" s="1" t="s">
        <v>71</v>
      </c>
      <c r="B76" s="3">
        <v>44078</v>
      </c>
      <c r="C76" s="1">
        <v>100</v>
      </c>
      <c r="D76" s="1">
        <v>0</v>
      </c>
      <c r="E76" s="1">
        <v>0</v>
      </c>
      <c r="F76" s="1">
        <v>0</v>
      </c>
      <c r="G76" s="1">
        <f>F76+E76</f>
        <v>0</v>
      </c>
    </row>
    <row r="77" spans="1:7" x14ac:dyDescent="0.2">
      <c r="A77" s="1" t="s">
        <v>71</v>
      </c>
      <c r="B77" s="3">
        <v>44386</v>
      </c>
      <c r="C77" s="1">
        <v>100</v>
      </c>
      <c r="D77" s="4">
        <v>1.25E-3</v>
      </c>
      <c r="E77" s="5">
        <f t="shared" ref="E77:E110" si="9">((D77*C76)/360)*DAYS360(B76,B77)</f>
        <v>0.10590277777777778</v>
      </c>
      <c r="F77" s="1">
        <v>0</v>
      </c>
      <c r="G77" s="1">
        <f t="shared" ref="G77:G110" si="10">F77+E77</f>
        <v>0.10590277777777778</v>
      </c>
    </row>
    <row r="78" spans="1:7" x14ac:dyDescent="0.2">
      <c r="A78" s="1" t="s">
        <v>71</v>
      </c>
      <c r="B78" s="3">
        <v>44570</v>
      </c>
      <c r="C78" s="1">
        <v>100</v>
      </c>
      <c r="D78" s="4">
        <v>0.02</v>
      </c>
      <c r="E78" s="5">
        <f t="shared" si="9"/>
        <v>1</v>
      </c>
      <c r="F78" s="1">
        <v>0</v>
      </c>
      <c r="G78" s="1">
        <f t="shared" si="10"/>
        <v>1</v>
      </c>
    </row>
    <row r="79" spans="1:7" x14ac:dyDescent="0.2">
      <c r="A79" s="1" t="s">
        <v>71</v>
      </c>
      <c r="B79" s="3">
        <v>44751</v>
      </c>
      <c r="C79" s="1">
        <v>100</v>
      </c>
      <c r="D79" s="4">
        <v>0.02</v>
      </c>
      <c r="E79" s="5">
        <f t="shared" si="9"/>
        <v>1</v>
      </c>
      <c r="F79" s="1">
        <v>0</v>
      </c>
      <c r="G79" s="1">
        <f t="shared" si="10"/>
        <v>1</v>
      </c>
    </row>
    <row r="80" spans="1:7" x14ac:dyDescent="0.2">
      <c r="A80" s="1" t="s">
        <v>71</v>
      </c>
      <c r="B80" s="3">
        <v>44935</v>
      </c>
      <c r="C80" s="1">
        <v>100</v>
      </c>
      <c r="D80" s="4">
        <v>3.875E-2</v>
      </c>
      <c r="E80" s="5">
        <f t="shared" si="9"/>
        <v>1.9375</v>
      </c>
      <c r="F80" s="1">
        <v>0</v>
      </c>
      <c r="G80" s="1">
        <f t="shared" si="10"/>
        <v>1.9375</v>
      </c>
    </row>
    <row r="81" spans="1:7" x14ac:dyDescent="0.2">
      <c r="A81" s="1" t="s">
        <v>71</v>
      </c>
      <c r="B81" s="3">
        <v>45116</v>
      </c>
      <c r="C81" s="1">
        <v>100</v>
      </c>
      <c r="D81" s="4">
        <v>3.875E-2</v>
      </c>
      <c r="E81" s="5">
        <f t="shared" si="9"/>
        <v>1.9375</v>
      </c>
      <c r="F81" s="1">
        <v>0</v>
      </c>
      <c r="G81" s="1">
        <f t="shared" si="10"/>
        <v>1.9375</v>
      </c>
    </row>
    <row r="82" spans="1:7" x14ac:dyDescent="0.2">
      <c r="A82" s="1" t="s">
        <v>71</v>
      </c>
      <c r="B82" s="3">
        <v>45300</v>
      </c>
      <c r="C82" s="1">
        <v>100</v>
      </c>
      <c r="D82" s="4">
        <v>4.2500000000000003E-2</v>
      </c>
      <c r="E82" s="5">
        <f t="shared" si="9"/>
        <v>2.125</v>
      </c>
      <c r="F82" s="1">
        <v>0</v>
      </c>
      <c r="G82" s="1">
        <f t="shared" si="10"/>
        <v>2.125</v>
      </c>
    </row>
    <row r="83" spans="1:7" x14ac:dyDescent="0.2">
      <c r="A83" s="1" t="s">
        <v>71</v>
      </c>
      <c r="B83" s="3">
        <v>45482</v>
      </c>
      <c r="C83" s="1">
        <v>100</v>
      </c>
      <c r="D83" s="4">
        <v>4.2500000000000003E-2</v>
      </c>
      <c r="E83" s="5">
        <f t="shared" si="9"/>
        <v>2.125</v>
      </c>
      <c r="F83" s="1">
        <v>0</v>
      </c>
      <c r="G83" s="1">
        <f t="shared" si="10"/>
        <v>2.125</v>
      </c>
    </row>
    <row r="84" spans="1:7" x14ac:dyDescent="0.2">
      <c r="A84" s="1" t="s">
        <v>71</v>
      </c>
      <c r="B84" s="3">
        <v>45666</v>
      </c>
      <c r="C84" s="1">
        <v>100</v>
      </c>
      <c r="D84" s="4">
        <v>0.05</v>
      </c>
      <c r="E84" s="5">
        <f t="shared" si="9"/>
        <v>2.5</v>
      </c>
      <c r="F84" s="1">
        <v>0</v>
      </c>
      <c r="G84" s="1">
        <f t="shared" si="10"/>
        <v>2.5</v>
      </c>
    </row>
    <row r="85" spans="1:7" x14ac:dyDescent="0.2">
      <c r="A85" s="1" t="s">
        <v>71</v>
      </c>
      <c r="B85" s="3">
        <v>45847</v>
      </c>
      <c r="C85" s="1">
        <v>100</v>
      </c>
      <c r="D85" s="4">
        <v>0.05</v>
      </c>
      <c r="E85" s="5">
        <f t="shared" si="9"/>
        <v>2.5</v>
      </c>
      <c r="F85" s="1">
        <v>0</v>
      </c>
      <c r="G85" s="1">
        <f t="shared" si="10"/>
        <v>2.5</v>
      </c>
    </row>
    <row r="86" spans="1:7" x14ac:dyDescent="0.2">
      <c r="A86" s="1" t="s">
        <v>71</v>
      </c>
      <c r="B86" s="3">
        <v>46031</v>
      </c>
      <c r="C86" s="1">
        <v>100</v>
      </c>
      <c r="D86" s="4">
        <v>0.05</v>
      </c>
      <c r="E86" s="5">
        <f t="shared" si="9"/>
        <v>2.5</v>
      </c>
      <c r="F86" s="1">
        <v>0</v>
      </c>
      <c r="G86" s="1">
        <f t="shared" si="10"/>
        <v>2.5</v>
      </c>
    </row>
    <row r="87" spans="1:7" x14ac:dyDescent="0.2">
      <c r="A87" s="1" t="s">
        <v>71</v>
      </c>
      <c r="B87" s="3">
        <v>46212</v>
      </c>
      <c r="C87" s="1">
        <v>100</v>
      </c>
      <c r="D87" s="4">
        <v>0.05</v>
      </c>
      <c r="E87" s="5">
        <f t="shared" si="9"/>
        <v>2.5</v>
      </c>
      <c r="F87" s="1">
        <v>0</v>
      </c>
      <c r="G87" s="1">
        <f t="shared" si="10"/>
        <v>2.5</v>
      </c>
    </row>
    <row r="88" spans="1:7" x14ac:dyDescent="0.2">
      <c r="A88" s="1" t="s">
        <v>71</v>
      </c>
      <c r="B88" s="3">
        <v>46396</v>
      </c>
      <c r="C88" s="1">
        <v>100</v>
      </c>
      <c r="D88" s="4">
        <v>0.05</v>
      </c>
      <c r="E88" s="5">
        <f t="shared" si="9"/>
        <v>2.5</v>
      </c>
      <c r="F88" s="1">
        <v>0</v>
      </c>
      <c r="G88" s="1">
        <f t="shared" si="10"/>
        <v>2.5</v>
      </c>
    </row>
    <row r="89" spans="1:7" x14ac:dyDescent="0.2">
      <c r="A89" s="1" t="s">
        <v>71</v>
      </c>
      <c r="B89" s="3">
        <v>46577</v>
      </c>
      <c r="C89" s="1">
        <f>C88-F89</f>
        <v>95.454599999999999</v>
      </c>
      <c r="D89" s="4">
        <v>0.05</v>
      </c>
      <c r="E89" s="5">
        <f t="shared" si="9"/>
        <v>2.5</v>
      </c>
      <c r="F89" s="1">
        <v>4.5453999999999999</v>
      </c>
      <c r="G89" s="1">
        <f t="shared" si="10"/>
        <v>7.0453999999999999</v>
      </c>
    </row>
    <row r="90" spans="1:7" x14ac:dyDescent="0.2">
      <c r="A90" s="1" t="s">
        <v>71</v>
      </c>
      <c r="B90" s="3">
        <v>46761</v>
      </c>
      <c r="C90" s="1">
        <f t="shared" ref="C90:C109" si="11">C89-F90</f>
        <v>90.909199999999998</v>
      </c>
      <c r="D90" s="4">
        <v>0.05</v>
      </c>
      <c r="E90" s="5">
        <f t="shared" si="9"/>
        <v>2.3863650000000001</v>
      </c>
      <c r="F90" s="1">
        <v>4.5453999999999999</v>
      </c>
      <c r="G90" s="1">
        <f t="shared" si="10"/>
        <v>6.9317650000000004</v>
      </c>
    </row>
    <row r="91" spans="1:7" x14ac:dyDescent="0.2">
      <c r="A91" s="1" t="s">
        <v>71</v>
      </c>
      <c r="B91" s="3">
        <v>46943</v>
      </c>
      <c r="C91" s="1">
        <f t="shared" si="11"/>
        <v>86.363799999999998</v>
      </c>
      <c r="D91" s="4">
        <v>0.05</v>
      </c>
      <c r="E91" s="5">
        <f t="shared" si="9"/>
        <v>2.2727300000000001</v>
      </c>
      <c r="F91" s="1">
        <v>4.5453999999999999</v>
      </c>
      <c r="G91" s="1">
        <f t="shared" si="10"/>
        <v>6.81813</v>
      </c>
    </row>
    <row r="92" spans="1:7" x14ac:dyDescent="0.2">
      <c r="A92" s="1" t="s">
        <v>71</v>
      </c>
      <c r="B92" s="3">
        <v>47127</v>
      </c>
      <c r="C92" s="1">
        <f t="shared" si="11"/>
        <v>81.818399999999997</v>
      </c>
      <c r="D92" s="4">
        <v>0.05</v>
      </c>
      <c r="E92" s="5">
        <f t="shared" si="9"/>
        <v>2.1590950000000002</v>
      </c>
      <c r="F92" s="1">
        <v>4.5453999999999999</v>
      </c>
      <c r="G92" s="1">
        <f t="shared" si="10"/>
        <v>6.7044949999999996</v>
      </c>
    </row>
    <row r="93" spans="1:7" x14ac:dyDescent="0.2">
      <c r="A93" s="1" t="s">
        <v>71</v>
      </c>
      <c r="B93" s="3">
        <v>47308</v>
      </c>
      <c r="C93" s="1">
        <f t="shared" si="11"/>
        <v>77.272999999999996</v>
      </c>
      <c r="D93" s="4">
        <v>0.05</v>
      </c>
      <c r="E93" s="5">
        <f t="shared" si="9"/>
        <v>2.0454599999999998</v>
      </c>
      <c r="F93" s="1">
        <v>4.5453999999999999</v>
      </c>
      <c r="G93" s="1">
        <f t="shared" si="10"/>
        <v>6.5908599999999993</v>
      </c>
    </row>
    <row r="94" spans="1:7" x14ac:dyDescent="0.2">
      <c r="A94" s="1" t="s">
        <v>71</v>
      </c>
      <c r="B94" s="3">
        <v>47492</v>
      </c>
      <c r="C94" s="1">
        <f t="shared" si="11"/>
        <v>72.727599999999995</v>
      </c>
      <c r="D94" s="4">
        <v>0.05</v>
      </c>
      <c r="E94" s="5">
        <f t="shared" si="9"/>
        <v>1.9318249999999999</v>
      </c>
      <c r="F94" s="1">
        <v>4.5453999999999999</v>
      </c>
      <c r="G94" s="1">
        <f t="shared" si="10"/>
        <v>6.4772249999999998</v>
      </c>
    </row>
    <row r="95" spans="1:7" x14ac:dyDescent="0.2">
      <c r="A95" s="1" t="s">
        <v>71</v>
      </c>
      <c r="B95" s="3">
        <v>47673</v>
      </c>
      <c r="C95" s="1">
        <f t="shared" si="11"/>
        <v>68.182199999999995</v>
      </c>
      <c r="D95" s="4">
        <v>0.05</v>
      </c>
      <c r="E95" s="5">
        <f t="shared" si="9"/>
        <v>1.81819</v>
      </c>
      <c r="F95" s="1">
        <v>4.5453999999999999</v>
      </c>
      <c r="G95" s="1">
        <f t="shared" si="10"/>
        <v>6.3635900000000003</v>
      </c>
    </row>
    <row r="96" spans="1:7" x14ac:dyDescent="0.2">
      <c r="A96" s="1" t="s">
        <v>71</v>
      </c>
      <c r="B96" s="3">
        <v>47857</v>
      </c>
      <c r="C96" s="1">
        <f t="shared" si="11"/>
        <v>63.636799999999994</v>
      </c>
      <c r="D96" s="4">
        <v>0.05</v>
      </c>
      <c r="E96" s="5">
        <f t="shared" si="9"/>
        <v>1.704555</v>
      </c>
      <c r="F96" s="1">
        <v>4.5453999999999999</v>
      </c>
      <c r="G96" s="1">
        <f t="shared" si="10"/>
        <v>6.2499549999999999</v>
      </c>
    </row>
    <row r="97" spans="1:7" x14ac:dyDescent="0.2">
      <c r="A97" s="1" t="s">
        <v>71</v>
      </c>
      <c r="B97" s="3">
        <v>48038</v>
      </c>
      <c r="C97" s="1">
        <f t="shared" si="11"/>
        <v>59.091399999999993</v>
      </c>
      <c r="D97" s="4">
        <v>0.05</v>
      </c>
      <c r="E97" s="5">
        <f t="shared" si="9"/>
        <v>1.5909199999999999</v>
      </c>
      <c r="F97" s="1">
        <v>4.5453999999999999</v>
      </c>
      <c r="G97" s="1">
        <f t="shared" si="10"/>
        <v>6.1363199999999996</v>
      </c>
    </row>
    <row r="98" spans="1:7" x14ac:dyDescent="0.2">
      <c r="A98" s="1" t="s">
        <v>71</v>
      </c>
      <c r="B98" s="3">
        <v>48222</v>
      </c>
      <c r="C98" s="1">
        <f t="shared" si="11"/>
        <v>54.545999999999992</v>
      </c>
      <c r="D98" s="4">
        <v>0.05</v>
      </c>
      <c r="E98" s="5">
        <f t="shared" si="9"/>
        <v>1.477285</v>
      </c>
      <c r="F98" s="1">
        <v>4.5453999999999999</v>
      </c>
      <c r="G98" s="1">
        <f t="shared" si="10"/>
        <v>6.0226850000000001</v>
      </c>
    </row>
    <row r="99" spans="1:7" x14ac:dyDescent="0.2">
      <c r="A99" s="1" t="s">
        <v>71</v>
      </c>
      <c r="B99" s="3">
        <v>48404</v>
      </c>
      <c r="C99" s="1">
        <f t="shared" si="11"/>
        <v>50.000599999999991</v>
      </c>
      <c r="D99" s="4">
        <v>0.05</v>
      </c>
      <c r="E99" s="5">
        <f t="shared" si="9"/>
        <v>1.3636499999999998</v>
      </c>
      <c r="F99" s="1">
        <v>4.5453999999999999</v>
      </c>
      <c r="G99" s="1">
        <f t="shared" si="10"/>
        <v>5.9090499999999997</v>
      </c>
    </row>
    <row r="100" spans="1:7" x14ac:dyDescent="0.2">
      <c r="A100" s="1" t="s">
        <v>71</v>
      </c>
      <c r="B100" s="3">
        <v>48588</v>
      </c>
      <c r="C100" s="1">
        <f t="shared" si="11"/>
        <v>45.455199999999991</v>
      </c>
      <c r="D100" s="4">
        <v>0.05</v>
      </c>
      <c r="E100" s="5">
        <f t="shared" si="9"/>
        <v>1.2500149999999999</v>
      </c>
      <c r="F100" s="1">
        <v>4.5453999999999999</v>
      </c>
      <c r="G100" s="1">
        <f t="shared" si="10"/>
        <v>5.7954150000000002</v>
      </c>
    </row>
    <row r="101" spans="1:7" x14ac:dyDescent="0.2">
      <c r="A101" s="1" t="s">
        <v>71</v>
      </c>
      <c r="B101" s="3">
        <v>48769</v>
      </c>
      <c r="C101" s="1">
        <f t="shared" si="11"/>
        <v>40.90979999999999</v>
      </c>
      <c r="D101" s="4">
        <v>0.05</v>
      </c>
      <c r="E101" s="5">
        <f t="shared" si="9"/>
        <v>1.1363799999999997</v>
      </c>
      <c r="F101" s="1">
        <v>4.5453999999999999</v>
      </c>
      <c r="G101" s="1">
        <f t="shared" si="10"/>
        <v>5.6817799999999998</v>
      </c>
    </row>
    <row r="102" spans="1:7" x14ac:dyDescent="0.2">
      <c r="A102" s="1" t="s">
        <v>71</v>
      </c>
      <c r="B102" s="3">
        <v>48953</v>
      </c>
      <c r="C102" s="1">
        <f t="shared" si="11"/>
        <v>36.364399999999989</v>
      </c>
      <c r="D102" s="4">
        <v>0.05</v>
      </c>
      <c r="E102" s="5">
        <f t="shared" si="9"/>
        <v>1.0227449999999998</v>
      </c>
      <c r="F102" s="1">
        <v>4.5453999999999999</v>
      </c>
      <c r="G102" s="1">
        <f t="shared" si="10"/>
        <v>5.5681449999999995</v>
      </c>
    </row>
    <row r="103" spans="1:7" x14ac:dyDescent="0.2">
      <c r="A103" s="1" t="s">
        <v>71</v>
      </c>
      <c r="B103" s="3">
        <v>49134</v>
      </c>
      <c r="C103" s="1">
        <f t="shared" si="11"/>
        <v>31.818999999999988</v>
      </c>
      <c r="D103" s="4">
        <v>0.05</v>
      </c>
      <c r="E103" s="5">
        <f t="shared" si="9"/>
        <v>0.90910999999999975</v>
      </c>
      <c r="F103" s="1">
        <v>4.5453999999999999</v>
      </c>
      <c r="G103" s="1">
        <f t="shared" si="10"/>
        <v>5.45451</v>
      </c>
    </row>
    <row r="104" spans="1:7" x14ac:dyDescent="0.2">
      <c r="A104" s="1" t="s">
        <v>71</v>
      </c>
      <c r="B104" s="3">
        <v>49318</v>
      </c>
      <c r="C104" s="1">
        <f t="shared" si="11"/>
        <v>27.273599999999988</v>
      </c>
      <c r="D104" s="4">
        <v>0.05</v>
      </c>
      <c r="E104" s="5">
        <f t="shared" si="9"/>
        <v>0.79547499999999971</v>
      </c>
      <c r="F104" s="1">
        <v>4.5453999999999999</v>
      </c>
      <c r="G104" s="1">
        <f t="shared" si="10"/>
        <v>5.3408749999999996</v>
      </c>
    </row>
    <row r="105" spans="1:7" x14ac:dyDescent="0.2">
      <c r="A105" s="1" t="s">
        <v>71</v>
      </c>
      <c r="B105" s="3">
        <v>49499</v>
      </c>
      <c r="C105" s="1">
        <f t="shared" si="11"/>
        <v>22.728199999999987</v>
      </c>
      <c r="D105" s="4">
        <v>0.05</v>
      </c>
      <c r="E105" s="5">
        <f t="shared" si="9"/>
        <v>0.68183999999999978</v>
      </c>
      <c r="F105" s="1">
        <v>4.5453999999999999</v>
      </c>
      <c r="G105" s="1">
        <f t="shared" si="10"/>
        <v>5.2272400000000001</v>
      </c>
    </row>
    <row r="106" spans="1:7" x14ac:dyDescent="0.2">
      <c r="A106" s="1" t="s">
        <v>71</v>
      </c>
      <c r="B106" s="3">
        <v>49683</v>
      </c>
      <c r="C106" s="1">
        <f t="shared" si="11"/>
        <v>18.182799999999986</v>
      </c>
      <c r="D106" s="4">
        <v>0.05</v>
      </c>
      <c r="E106" s="5">
        <f t="shared" si="9"/>
        <v>0.56820499999999974</v>
      </c>
      <c r="F106" s="1">
        <v>4.5453999999999999</v>
      </c>
      <c r="G106" s="1">
        <f t="shared" si="10"/>
        <v>5.1136049999999997</v>
      </c>
    </row>
    <row r="107" spans="1:7" x14ac:dyDescent="0.2">
      <c r="A107" s="1" t="s">
        <v>71</v>
      </c>
      <c r="B107" s="3">
        <v>49865</v>
      </c>
      <c r="C107" s="1">
        <f t="shared" si="11"/>
        <v>13.637399999999985</v>
      </c>
      <c r="D107" s="4">
        <v>0.05</v>
      </c>
      <c r="E107" s="5">
        <f t="shared" si="9"/>
        <v>0.4545699999999997</v>
      </c>
      <c r="F107" s="1">
        <v>4.5453999999999999</v>
      </c>
      <c r="G107" s="1">
        <f t="shared" si="10"/>
        <v>4.9999699999999994</v>
      </c>
    </row>
    <row r="108" spans="1:7" x14ac:dyDescent="0.2">
      <c r="A108" s="1" t="s">
        <v>71</v>
      </c>
      <c r="B108" s="3">
        <v>50049</v>
      </c>
      <c r="C108" s="1">
        <f t="shared" si="11"/>
        <v>9.0919999999999845</v>
      </c>
      <c r="D108" s="4">
        <v>0.05</v>
      </c>
      <c r="E108" s="5">
        <f t="shared" si="9"/>
        <v>0.34093499999999965</v>
      </c>
      <c r="F108" s="1">
        <v>4.5453999999999999</v>
      </c>
      <c r="G108" s="1">
        <f t="shared" si="10"/>
        <v>4.8863349999999999</v>
      </c>
    </row>
    <row r="109" spans="1:7" x14ac:dyDescent="0.2">
      <c r="A109" s="1" t="s">
        <v>71</v>
      </c>
      <c r="B109" s="3">
        <v>50230</v>
      </c>
      <c r="C109" s="1">
        <f t="shared" si="11"/>
        <v>4.5465999999999847</v>
      </c>
      <c r="D109" s="4">
        <v>0.05</v>
      </c>
      <c r="E109" s="5">
        <f t="shared" si="9"/>
        <v>0.22729999999999961</v>
      </c>
      <c r="F109" s="1">
        <v>4.5453999999999999</v>
      </c>
      <c r="G109" s="1">
        <f t="shared" si="10"/>
        <v>4.7726999999999995</v>
      </c>
    </row>
    <row r="110" spans="1:7" x14ac:dyDescent="0.2">
      <c r="A110" s="1" t="s">
        <v>71</v>
      </c>
      <c r="B110" s="3">
        <v>50414</v>
      </c>
      <c r="C110" s="1">
        <v>0</v>
      </c>
      <c r="D110" s="4">
        <v>0.05</v>
      </c>
      <c r="E110" s="5">
        <f t="shared" si="9"/>
        <v>0.11366499999999963</v>
      </c>
      <c r="F110" s="1">
        <v>4.5465999999999998</v>
      </c>
      <c r="G110" s="1">
        <f t="shared" si="10"/>
        <v>4.660264999999999</v>
      </c>
    </row>
    <row r="111" spans="1:7" x14ac:dyDescent="0.2">
      <c r="A111" s="1"/>
      <c r="B111" s="3"/>
      <c r="C111" s="1"/>
      <c r="D111" s="4"/>
      <c r="E111" s="5"/>
      <c r="F111" s="1"/>
      <c r="G111" s="1"/>
    </row>
    <row r="112" spans="1:7" x14ac:dyDescent="0.2">
      <c r="A112" s="2" t="s">
        <v>0</v>
      </c>
      <c r="B112" s="2" t="s">
        <v>10</v>
      </c>
      <c r="C112" s="2" t="s">
        <v>11</v>
      </c>
      <c r="D112" s="2" t="s">
        <v>14</v>
      </c>
      <c r="E112" s="2" t="s">
        <v>12</v>
      </c>
      <c r="F112" s="2" t="s">
        <v>13</v>
      </c>
      <c r="G112" s="2" t="s">
        <v>15</v>
      </c>
    </row>
    <row r="113" spans="1:7" x14ac:dyDescent="0.2">
      <c r="A113" s="1" t="s">
        <v>72</v>
      </c>
      <c r="B113" s="3">
        <v>44078</v>
      </c>
      <c r="C113" s="1">
        <v>100</v>
      </c>
      <c r="D113" s="1">
        <v>0</v>
      </c>
      <c r="E113" s="1">
        <v>0</v>
      </c>
      <c r="F113" s="1">
        <v>0</v>
      </c>
      <c r="G113" s="1">
        <f>F113+E113</f>
        <v>0</v>
      </c>
    </row>
    <row r="114" spans="1:7" x14ac:dyDescent="0.2">
      <c r="A114" s="1" t="s">
        <v>72</v>
      </c>
      <c r="B114" s="3">
        <v>44386</v>
      </c>
      <c r="C114" s="1">
        <v>100</v>
      </c>
      <c r="D114" s="4">
        <v>1.25E-3</v>
      </c>
      <c r="E114" s="5">
        <f t="shared" ref="E114:E154" si="12">((D114*C113)/360)*DAYS360(B113,B114)</f>
        <v>0.10590277777777778</v>
      </c>
      <c r="F114" s="1">
        <v>0</v>
      </c>
      <c r="G114" s="1">
        <f t="shared" ref="G114:G154" si="13">F114+E114</f>
        <v>0.10590277777777778</v>
      </c>
    </row>
    <row r="115" spans="1:7" x14ac:dyDescent="0.2">
      <c r="A115" s="1" t="s">
        <v>72</v>
      </c>
      <c r="B115" s="3">
        <v>44570</v>
      </c>
      <c r="C115" s="1">
        <v>100</v>
      </c>
      <c r="D115" s="4">
        <v>2.5000000000000001E-2</v>
      </c>
      <c r="E115" s="5">
        <f t="shared" si="12"/>
        <v>1.25</v>
      </c>
      <c r="F115" s="1">
        <v>0</v>
      </c>
      <c r="G115" s="1">
        <f t="shared" si="13"/>
        <v>1.25</v>
      </c>
    </row>
    <row r="116" spans="1:7" x14ac:dyDescent="0.2">
      <c r="A116" s="1" t="s">
        <v>72</v>
      </c>
      <c r="B116" s="3">
        <v>44751</v>
      </c>
      <c r="C116" s="1">
        <v>100</v>
      </c>
      <c r="D116" s="4">
        <v>2.5000000000000001E-2</v>
      </c>
      <c r="E116" s="5">
        <f t="shared" si="12"/>
        <v>1.25</v>
      </c>
      <c r="F116" s="1">
        <v>0</v>
      </c>
      <c r="G116" s="1">
        <f t="shared" si="13"/>
        <v>1.25</v>
      </c>
    </row>
    <row r="117" spans="1:7" x14ac:dyDescent="0.2">
      <c r="A117" s="1" t="s">
        <v>72</v>
      </c>
      <c r="B117" s="3">
        <v>44935</v>
      </c>
      <c r="C117" s="1">
        <v>100</v>
      </c>
      <c r="D117" s="4">
        <v>3.5000000000000003E-2</v>
      </c>
      <c r="E117" s="5">
        <f t="shared" si="12"/>
        <v>1.7500000000000004</v>
      </c>
      <c r="F117" s="1">
        <v>0</v>
      </c>
      <c r="G117" s="1">
        <f t="shared" si="13"/>
        <v>1.7500000000000004</v>
      </c>
    </row>
    <row r="118" spans="1:7" x14ac:dyDescent="0.2">
      <c r="A118" s="1" t="s">
        <v>72</v>
      </c>
      <c r="B118" s="3">
        <v>45116</v>
      </c>
      <c r="C118" s="1">
        <v>100</v>
      </c>
      <c r="D118" s="4">
        <v>3.5000000000000003E-2</v>
      </c>
      <c r="E118" s="5">
        <f t="shared" si="12"/>
        <v>1.7500000000000004</v>
      </c>
      <c r="F118" s="1">
        <v>0</v>
      </c>
      <c r="G118" s="1">
        <f t="shared" si="13"/>
        <v>1.7500000000000004</v>
      </c>
    </row>
    <row r="119" spans="1:7" x14ac:dyDescent="0.2">
      <c r="A119" s="1" t="s">
        <v>72</v>
      </c>
      <c r="B119" s="3">
        <v>45300</v>
      </c>
      <c r="C119" s="1">
        <v>100</v>
      </c>
      <c r="D119" s="4">
        <v>3.5000000000000003E-2</v>
      </c>
      <c r="E119" s="5">
        <f t="shared" si="12"/>
        <v>1.7500000000000004</v>
      </c>
      <c r="F119" s="1">
        <v>0</v>
      </c>
      <c r="G119" s="1">
        <f t="shared" si="13"/>
        <v>1.7500000000000004</v>
      </c>
    </row>
    <row r="120" spans="1:7" x14ac:dyDescent="0.2">
      <c r="A120" s="1" t="s">
        <v>72</v>
      </c>
      <c r="B120" s="3">
        <v>45482</v>
      </c>
      <c r="C120" s="1">
        <v>100</v>
      </c>
      <c r="D120" s="4">
        <v>3.5000000000000003E-2</v>
      </c>
      <c r="E120" s="5">
        <f t="shared" si="12"/>
        <v>1.7500000000000004</v>
      </c>
      <c r="F120" s="1">
        <v>0</v>
      </c>
      <c r="G120" s="1">
        <f t="shared" si="13"/>
        <v>1.7500000000000004</v>
      </c>
    </row>
    <row r="121" spans="1:7" x14ac:dyDescent="0.2">
      <c r="A121" s="1" t="s">
        <v>72</v>
      </c>
      <c r="B121" s="3">
        <v>45666</v>
      </c>
      <c r="C121" s="1">
        <v>100</v>
      </c>
      <c r="D121" s="4">
        <v>3.5000000000000003E-2</v>
      </c>
      <c r="E121" s="5">
        <f t="shared" si="12"/>
        <v>1.7500000000000004</v>
      </c>
      <c r="F121" s="1">
        <v>0</v>
      </c>
      <c r="G121" s="1">
        <f t="shared" si="13"/>
        <v>1.7500000000000004</v>
      </c>
    </row>
    <row r="122" spans="1:7" x14ac:dyDescent="0.2">
      <c r="A122" s="1" t="s">
        <v>72</v>
      </c>
      <c r="B122" s="3">
        <v>45847</v>
      </c>
      <c r="C122" s="1">
        <v>100</v>
      </c>
      <c r="D122" s="4">
        <v>3.5000000000000003E-2</v>
      </c>
      <c r="E122" s="5">
        <f t="shared" si="12"/>
        <v>1.7500000000000004</v>
      </c>
      <c r="F122" s="1">
        <v>0</v>
      </c>
      <c r="G122" s="1">
        <f t="shared" si="13"/>
        <v>1.7500000000000004</v>
      </c>
    </row>
    <row r="123" spans="1:7" x14ac:dyDescent="0.2">
      <c r="A123" s="1" t="s">
        <v>72</v>
      </c>
      <c r="B123" s="3">
        <v>46031</v>
      </c>
      <c r="C123" s="1">
        <v>100</v>
      </c>
      <c r="D123" s="4">
        <v>3.5000000000000003E-2</v>
      </c>
      <c r="E123" s="5">
        <f t="shared" si="12"/>
        <v>1.7500000000000004</v>
      </c>
      <c r="F123" s="1">
        <v>0</v>
      </c>
      <c r="G123" s="1">
        <f t="shared" si="13"/>
        <v>1.7500000000000004</v>
      </c>
    </row>
    <row r="124" spans="1:7" x14ac:dyDescent="0.2">
      <c r="A124" s="1" t="s">
        <v>72</v>
      </c>
      <c r="B124" s="3">
        <v>46212</v>
      </c>
      <c r="C124" s="1">
        <v>100</v>
      </c>
      <c r="D124" s="4">
        <v>3.5000000000000003E-2</v>
      </c>
      <c r="E124" s="5">
        <f t="shared" si="12"/>
        <v>1.7500000000000004</v>
      </c>
      <c r="F124" s="1">
        <v>0</v>
      </c>
      <c r="G124" s="1">
        <f t="shared" si="13"/>
        <v>1.7500000000000004</v>
      </c>
    </row>
    <row r="125" spans="1:7" x14ac:dyDescent="0.2">
      <c r="A125" s="1" t="s">
        <v>72</v>
      </c>
      <c r="B125" s="3">
        <v>46396</v>
      </c>
      <c r="C125" s="1">
        <v>100</v>
      </c>
      <c r="D125" s="4">
        <v>3.5000000000000003E-2</v>
      </c>
      <c r="E125" s="5">
        <f t="shared" si="12"/>
        <v>1.7500000000000004</v>
      </c>
      <c r="F125" s="1">
        <v>0</v>
      </c>
      <c r="G125" s="1">
        <f t="shared" si="13"/>
        <v>1.7500000000000004</v>
      </c>
    </row>
    <row r="126" spans="1:7" x14ac:dyDescent="0.2">
      <c r="A126" s="1" t="s">
        <v>72</v>
      </c>
      <c r="B126" s="3">
        <v>46577</v>
      </c>
      <c r="C126" s="1">
        <f>C125-F126</f>
        <v>100</v>
      </c>
      <c r="D126" s="4">
        <v>3.5000000000000003E-2</v>
      </c>
      <c r="E126" s="5">
        <f t="shared" si="12"/>
        <v>1.7500000000000004</v>
      </c>
      <c r="F126" s="1">
        <v>0</v>
      </c>
      <c r="G126" s="1">
        <f t="shared" si="13"/>
        <v>1.7500000000000004</v>
      </c>
    </row>
    <row r="127" spans="1:7" x14ac:dyDescent="0.2">
      <c r="A127" s="1" t="s">
        <v>72</v>
      </c>
      <c r="B127" s="3">
        <v>46761</v>
      </c>
      <c r="C127" s="1">
        <f t="shared" ref="C127:C153" si="14">C126-F127</f>
        <v>96.428600000000003</v>
      </c>
      <c r="D127" s="4">
        <v>3.5000000000000003E-2</v>
      </c>
      <c r="E127" s="5">
        <f t="shared" si="12"/>
        <v>1.7500000000000004</v>
      </c>
      <c r="F127" s="1">
        <v>3.5714000000000001</v>
      </c>
      <c r="G127" s="1">
        <f t="shared" si="13"/>
        <v>5.3214000000000006</v>
      </c>
    </row>
    <row r="128" spans="1:7" x14ac:dyDescent="0.2">
      <c r="A128" s="1" t="s">
        <v>72</v>
      </c>
      <c r="B128" s="3">
        <v>46943</v>
      </c>
      <c r="C128" s="1">
        <f t="shared" si="14"/>
        <v>92.857200000000006</v>
      </c>
      <c r="D128" s="4">
        <v>3.5000000000000003E-2</v>
      </c>
      <c r="E128" s="5">
        <f t="shared" si="12"/>
        <v>1.6875005000000005</v>
      </c>
      <c r="F128" s="1">
        <v>3.5714000000000001</v>
      </c>
      <c r="G128" s="1">
        <f t="shared" si="13"/>
        <v>5.2589005000000011</v>
      </c>
    </row>
    <row r="129" spans="1:7" x14ac:dyDescent="0.2">
      <c r="A129" s="1" t="s">
        <v>72</v>
      </c>
      <c r="B129" s="3">
        <v>47127</v>
      </c>
      <c r="C129" s="1">
        <f t="shared" si="14"/>
        <v>89.285800000000009</v>
      </c>
      <c r="D129" s="4">
        <v>3.5000000000000003E-2</v>
      </c>
      <c r="E129" s="5">
        <f t="shared" si="12"/>
        <v>1.6250010000000004</v>
      </c>
      <c r="F129" s="1">
        <v>3.5714000000000001</v>
      </c>
      <c r="G129" s="1">
        <f t="shared" si="13"/>
        <v>5.1964010000000007</v>
      </c>
    </row>
    <row r="130" spans="1:7" x14ac:dyDescent="0.2">
      <c r="A130" s="1" t="s">
        <v>72</v>
      </c>
      <c r="B130" s="3">
        <v>47308</v>
      </c>
      <c r="C130" s="1">
        <f t="shared" si="14"/>
        <v>85.714400000000012</v>
      </c>
      <c r="D130" s="4">
        <v>3.5000000000000003E-2</v>
      </c>
      <c r="E130" s="5">
        <f t="shared" si="12"/>
        <v>1.5625015000000002</v>
      </c>
      <c r="F130" s="1">
        <v>3.5714000000000001</v>
      </c>
      <c r="G130" s="1">
        <f t="shared" si="13"/>
        <v>5.1339015000000003</v>
      </c>
    </row>
    <row r="131" spans="1:7" x14ac:dyDescent="0.2">
      <c r="A131" s="1" t="s">
        <v>72</v>
      </c>
      <c r="B131" s="3">
        <v>47492</v>
      </c>
      <c r="C131" s="1">
        <f t="shared" si="14"/>
        <v>82.143000000000015</v>
      </c>
      <c r="D131" s="4">
        <v>4.8750000000000002E-2</v>
      </c>
      <c r="E131" s="5">
        <f t="shared" si="12"/>
        <v>2.0892885000000003</v>
      </c>
      <c r="F131" s="1">
        <v>3.5714000000000001</v>
      </c>
      <c r="G131" s="1">
        <f t="shared" si="13"/>
        <v>5.6606885000000009</v>
      </c>
    </row>
    <row r="132" spans="1:7" x14ac:dyDescent="0.2">
      <c r="A132" s="1" t="s">
        <v>72</v>
      </c>
      <c r="B132" s="3">
        <v>47673</v>
      </c>
      <c r="C132" s="1">
        <f t="shared" si="14"/>
        <v>78.571600000000018</v>
      </c>
      <c r="D132" s="4">
        <v>4.8750000000000002E-2</v>
      </c>
      <c r="E132" s="5">
        <f t="shared" si="12"/>
        <v>2.0022356250000004</v>
      </c>
      <c r="F132" s="1">
        <v>3.5714000000000001</v>
      </c>
      <c r="G132" s="1">
        <f t="shared" si="13"/>
        <v>5.5736356250000005</v>
      </c>
    </row>
    <row r="133" spans="1:7" x14ac:dyDescent="0.2">
      <c r="A133" s="1" t="s">
        <v>72</v>
      </c>
      <c r="B133" s="3">
        <v>47857</v>
      </c>
      <c r="C133" s="1">
        <f t="shared" si="14"/>
        <v>75.000200000000021</v>
      </c>
      <c r="D133" s="4">
        <v>4.8750000000000002E-2</v>
      </c>
      <c r="E133" s="5">
        <f t="shared" si="12"/>
        <v>1.9151827500000003</v>
      </c>
      <c r="F133" s="1">
        <v>3.5714000000000001</v>
      </c>
      <c r="G133" s="1">
        <f t="shared" si="13"/>
        <v>5.4865827500000002</v>
      </c>
    </row>
    <row r="134" spans="1:7" x14ac:dyDescent="0.2">
      <c r="A134" s="1" t="s">
        <v>72</v>
      </c>
      <c r="B134" s="3">
        <v>48038</v>
      </c>
      <c r="C134" s="1">
        <f t="shared" si="14"/>
        <v>71.428800000000024</v>
      </c>
      <c r="D134" s="4">
        <v>4.8750000000000002E-2</v>
      </c>
      <c r="E134" s="5">
        <f t="shared" si="12"/>
        <v>1.8281298750000006</v>
      </c>
      <c r="F134" s="1">
        <v>3.5714000000000001</v>
      </c>
      <c r="G134" s="1">
        <f t="shared" si="13"/>
        <v>5.3995298750000007</v>
      </c>
    </row>
    <row r="135" spans="1:7" x14ac:dyDescent="0.2">
      <c r="A135" s="1" t="s">
        <v>72</v>
      </c>
      <c r="B135" s="3">
        <v>48222</v>
      </c>
      <c r="C135" s="1">
        <f t="shared" si="14"/>
        <v>67.857400000000027</v>
      </c>
      <c r="D135" s="4">
        <v>4.8750000000000002E-2</v>
      </c>
      <c r="E135" s="5">
        <f t="shared" si="12"/>
        <v>1.7410770000000007</v>
      </c>
      <c r="F135" s="1">
        <v>3.5714000000000001</v>
      </c>
      <c r="G135" s="1">
        <f t="shared" si="13"/>
        <v>5.3124770000000012</v>
      </c>
    </row>
    <row r="136" spans="1:7" x14ac:dyDescent="0.2">
      <c r="A136" s="1" t="s">
        <v>72</v>
      </c>
      <c r="B136" s="3">
        <v>48404</v>
      </c>
      <c r="C136" s="1">
        <f t="shared" si="14"/>
        <v>64.28600000000003</v>
      </c>
      <c r="D136" s="4">
        <v>4.8750000000000002E-2</v>
      </c>
      <c r="E136" s="5">
        <f t="shared" si="12"/>
        <v>1.6540241250000007</v>
      </c>
      <c r="F136" s="1">
        <v>3.5714000000000001</v>
      </c>
      <c r="G136" s="1">
        <f t="shared" si="13"/>
        <v>5.2254241250000009</v>
      </c>
    </row>
    <row r="137" spans="1:7" x14ac:dyDescent="0.2">
      <c r="A137" s="1" t="s">
        <v>72</v>
      </c>
      <c r="B137" s="3">
        <v>48588</v>
      </c>
      <c r="C137" s="1">
        <f t="shared" si="14"/>
        <v>60.714600000000033</v>
      </c>
      <c r="D137" s="4">
        <v>4.8750000000000002E-2</v>
      </c>
      <c r="E137" s="5">
        <f t="shared" si="12"/>
        <v>1.5669712500000008</v>
      </c>
      <c r="F137" s="1">
        <v>3.5714000000000001</v>
      </c>
      <c r="G137" s="1">
        <f t="shared" si="13"/>
        <v>5.1383712500000005</v>
      </c>
    </row>
    <row r="138" spans="1:7" x14ac:dyDescent="0.2">
      <c r="A138" s="1" t="s">
        <v>72</v>
      </c>
      <c r="B138" s="3">
        <v>48769</v>
      </c>
      <c r="C138" s="1">
        <f t="shared" si="14"/>
        <v>57.143200000000036</v>
      </c>
      <c r="D138" s="4">
        <v>4.8750000000000002E-2</v>
      </c>
      <c r="E138" s="5">
        <f t="shared" si="12"/>
        <v>1.4799183750000011</v>
      </c>
      <c r="F138" s="1">
        <v>3.5714000000000001</v>
      </c>
      <c r="G138" s="1">
        <f t="shared" si="13"/>
        <v>5.051318375000001</v>
      </c>
    </row>
    <row r="139" spans="1:7" x14ac:dyDescent="0.2">
      <c r="A139" s="1" t="s">
        <v>72</v>
      </c>
      <c r="B139" s="3">
        <v>48953</v>
      </c>
      <c r="C139" s="1">
        <f t="shared" si="14"/>
        <v>53.571800000000039</v>
      </c>
      <c r="D139" s="4">
        <v>4.8750000000000002E-2</v>
      </c>
      <c r="E139" s="5">
        <f t="shared" si="12"/>
        <v>1.392865500000001</v>
      </c>
      <c r="F139" s="1">
        <v>3.5714000000000001</v>
      </c>
      <c r="G139" s="1">
        <f t="shared" si="13"/>
        <v>4.9642655000000016</v>
      </c>
    </row>
    <row r="140" spans="1:7" x14ac:dyDescent="0.2">
      <c r="A140" s="1" t="s">
        <v>72</v>
      </c>
      <c r="B140" s="3">
        <v>49134</v>
      </c>
      <c r="C140" s="1">
        <f t="shared" si="14"/>
        <v>50.000400000000042</v>
      </c>
      <c r="D140" s="4">
        <v>4.8750000000000002E-2</v>
      </c>
      <c r="E140" s="5">
        <f t="shared" si="12"/>
        <v>1.3058126250000011</v>
      </c>
      <c r="F140" s="1">
        <v>3.5714000000000001</v>
      </c>
      <c r="G140" s="1">
        <f t="shared" si="13"/>
        <v>4.8772126250000012</v>
      </c>
    </row>
    <row r="141" spans="1:7" x14ac:dyDescent="0.2">
      <c r="A141" s="1" t="s">
        <v>72</v>
      </c>
      <c r="B141" s="3">
        <v>49318</v>
      </c>
      <c r="C141" s="1">
        <f t="shared" si="14"/>
        <v>46.429000000000045</v>
      </c>
      <c r="D141" s="4">
        <v>4.8750000000000002E-2</v>
      </c>
      <c r="E141" s="5">
        <f t="shared" si="12"/>
        <v>1.2187597500000011</v>
      </c>
      <c r="F141" s="1">
        <v>3.5714000000000001</v>
      </c>
      <c r="G141" s="1">
        <f t="shared" si="13"/>
        <v>4.7901597500000008</v>
      </c>
    </row>
    <row r="142" spans="1:7" x14ac:dyDescent="0.2">
      <c r="A142" s="1" t="s">
        <v>72</v>
      </c>
      <c r="B142" s="3">
        <v>49499</v>
      </c>
      <c r="C142" s="1">
        <f t="shared" si="14"/>
        <v>42.857600000000048</v>
      </c>
      <c r="D142" s="4">
        <v>4.8750000000000002E-2</v>
      </c>
      <c r="E142" s="5">
        <f t="shared" si="12"/>
        <v>1.1317068750000012</v>
      </c>
      <c r="F142" s="1">
        <v>3.5714000000000001</v>
      </c>
      <c r="G142" s="1">
        <f t="shared" si="13"/>
        <v>4.7031068750000014</v>
      </c>
    </row>
    <row r="143" spans="1:7" x14ac:dyDescent="0.2">
      <c r="A143" s="1" t="s">
        <v>72</v>
      </c>
      <c r="B143" s="3">
        <v>49683</v>
      </c>
      <c r="C143" s="1">
        <f t="shared" si="14"/>
        <v>39.286200000000051</v>
      </c>
      <c r="D143" s="4">
        <v>4.8750000000000002E-2</v>
      </c>
      <c r="E143" s="5">
        <f t="shared" si="12"/>
        <v>1.0446540000000013</v>
      </c>
      <c r="F143" s="1">
        <v>3.5714000000000001</v>
      </c>
      <c r="G143" s="1">
        <f t="shared" si="13"/>
        <v>4.6160540000000019</v>
      </c>
    </row>
    <row r="144" spans="1:7" x14ac:dyDescent="0.2">
      <c r="A144" s="1" t="s">
        <v>72</v>
      </c>
      <c r="B144" s="3">
        <v>49865</v>
      </c>
      <c r="C144" s="1">
        <f t="shared" si="14"/>
        <v>35.714800000000054</v>
      </c>
      <c r="D144" s="4">
        <v>4.8750000000000002E-2</v>
      </c>
      <c r="E144" s="5">
        <f t="shared" si="12"/>
        <v>0.95760112500000127</v>
      </c>
      <c r="F144" s="1">
        <v>3.5714000000000001</v>
      </c>
      <c r="G144" s="1">
        <f t="shared" si="13"/>
        <v>4.5290011250000015</v>
      </c>
    </row>
    <row r="145" spans="1:7" x14ac:dyDescent="0.2">
      <c r="A145" s="1" t="s">
        <v>72</v>
      </c>
      <c r="B145" s="3">
        <v>50049</v>
      </c>
      <c r="C145" s="1">
        <f t="shared" si="14"/>
        <v>32.143400000000057</v>
      </c>
      <c r="D145" s="4">
        <v>4.8750000000000002E-2</v>
      </c>
      <c r="E145" s="5">
        <f t="shared" si="12"/>
        <v>0.87054825000000136</v>
      </c>
      <c r="F145" s="1">
        <v>3.5714000000000001</v>
      </c>
      <c r="G145" s="1">
        <f t="shared" si="13"/>
        <v>4.4419482500000012</v>
      </c>
    </row>
    <row r="146" spans="1:7" x14ac:dyDescent="0.2">
      <c r="A146" s="1" t="s">
        <v>72</v>
      </c>
      <c r="B146" s="3">
        <v>50230</v>
      </c>
      <c r="C146" s="1">
        <f t="shared" si="14"/>
        <v>28.572000000000056</v>
      </c>
      <c r="D146" s="4">
        <v>4.8750000000000002E-2</v>
      </c>
      <c r="E146" s="5">
        <f t="shared" si="12"/>
        <v>0.78349537500000155</v>
      </c>
      <c r="F146" s="1">
        <v>3.5714000000000001</v>
      </c>
      <c r="G146" s="1">
        <f t="shared" si="13"/>
        <v>4.3548953750000017</v>
      </c>
    </row>
    <row r="147" spans="1:7" x14ac:dyDescent="0.2">
      <c r="A147" s="1" t="s">
        <v>72</v>
      </c>
      <c r="B147" s="3">
        <v>50414</v>
      </c>
      <c r="C147" s="1">
        <f t="shared" si="14"/>
        <v>25.000600000000055</v>
      </c>
      <c r="D147" s="4">
        <v>4.8750000000000002E-2</v>
      </c>
      <c r="E147" s="5">
        <f t="shared" si="12"/>
        <v>0.69644250000000141</v>
      </c>
      <c r="F147" s="1">
        <v>3.5714000000000001</v>
      </c>
      <c r="G147" s="1">
        <f t="shared" si="13"/>
        <v>4.2678425000000013</v>
      </c>
    </row>
    <row r="148" spans="1:7" x14ac:dyDescent="0.2">
      <c r="A148" s="1" t="s">
        <v>72</v>
      </c>
      <c r="B148" s="3">
        <v>50595</v>
      </c>
      <c r="C148" s="1">
        <f t="shared" si="14"/>
        <v>21.429200000000055</v>
      </c>
      <c r="D148" s="4">
        <v>4.8750000000000002E-2</v>
      </c>
      <c r="E148" s="5">
        <f t="shared" si="12"/>
        <v>0.60938962500000138</v>
      </c>
      <c r="F148" s="1">
        <v>3.5714000000000001</v>
      </c>
      <c r="G148" s="1">
        <f t="shared" si="13"/>
        <v>4.1807896250000018</v>
      </c>
    </row>
    <row r="149" spans="1:7" x14ac:dyDescent="0.2">
      <c r="A149" s="1" t="s">
        <v>72</v>
      </c>
      <c r="B149" s="3">
        <v>50779</v>
      </c>
      <c r="C149" s="1">
        <f t="shared" si="14"/>
        <v>17.857800000000054</v>
      </c>
      <c r="D149" s="4">
        <v>4.8750000000000002E-2</v>
      </c>
      <c r="E149" s="5">
        <f t="shared" si="12"/>
        <v>0.52233675000000135</v>
      </c>
      <c r="F149" s="1">
        <v>3.5714000000000001</v>
      </c>
      <c r="G149" s="1">
        <f t="shared" si="13"/>
        <v>4.0937367500000015</v>
      </c>
    </row>
    <row r="150" spans="1:7" x14ac:dyDescent="0.2">
      <c r="A150" s="1" t="s">
        <v>72</v>
      </c>
      <c r="B150" s="3">
        <v>50960</v>
      </c>
      <c r="C150" s="1">
        <f t="shared" si="14"/>
        <v>14.286400000000054</v>
      </c>
      <c r="D150" s="4">
        <v>4.8750000000000002E-2</v>
      </c>
      <c r="E150" s="5">
        <f t="shared" si="12"/>
        <v>0.43528387500000132</v>
      </c>
      <c r="F150" s="1">
        <v>3.5714000000000001</v>
      </c>
      <c r="G150" s="1">
        <f t="shared" si="13"/>
        <v>4.0066838750000011</v>
      </c>
    </row>
    <row r="151" spans="1:7" x14ac:dyDescent="0.2">
      <c r="A151" s="1" t="s">
        <v>72</v>
      </c>
      <c r="B151" s="3">
        <v>51144</v>
      </c>
      <c r="C151" s="1">
        <f t="shared" si="14"/>
        <v>10.715000000000053</v>
      </c>
      <c r="D151" s="4">
        <v>4.8750000000000002E-2</v>
      </c>
      <c r="E151" s="5">
        <f t="shared" si="12"/>
        <v>0.34823100000000135</v>
      </c>
      <c r="F151" s="1">
        <v>3.5714000000000001</v>
      </c>
      <c r="G151" s="1">
        <f t="shared" si="13"/>
        <v>3.9196310000000016</v>
      </c>
    </row>
    <row r="152" spans="1:7" x14ac:dyDescent="0.2">
      <c r="A152" s="1" t="s">
        <v>72</v>
      </c>
      <c r="B152" s="3">
        <v>51326</v>
      </c>
      <c r="C152" s="1">
        <f t="shared" si="14"/>
        <v>7.1436000000000526</v>
      </c>
      <c r="D152" s="4">
        <v>4.8750000000000002E-2</v>
      </c>
      <c r="E152" s="5">
        <f t="shared" si="12"/>
        <v>0.26117812500000132</v>
      </c>
      <c r="F152" s="1">
        <v>3.5714000000000001</v>
      </c>
      <c r="G152" s="1">
        <f t="shared" si="13"/>
        <v>3.8325781250000013</v>
      </c>
    </row>
    <row r="153" spans="1:7" x14ac:dyDescent="0.2">
      <c r="A153" s="1" t="s">
        <v>72</v>
      </c>
      <c r="B153" s="3">
        <v>51510</v>
      </c>
      <c r="C153" s="1">
        <f t="shared" si="14"/>
        <v>3.5722000000000524</v>
      </c>
      <c r="D153" s="4">
        <v>4.8750000000000002E-2</v>
      </c>
      <c r="E153" s="5">
        <f t="shared" si="12"/>
        <v>0.17412525000000129</v>
      </c>
      <c r="F153" s="1">
        <v>3.5714000000000001</v>
      </c>
      <c r="G153" s="1">
        <f t="shared" si="13"/>
        <v>3.7455252500000014</v>
      </c>
    </row>
    <row r="154" spans="1:7" x14ac:dyDescent="0.2">
      <c r="A154" s="1" t="s">
        <v>72</v>
      </c>
      <c r="B154" s="3">
        <v>51691</v>
      </c>
      <c r="C154" s="1">
        <v>0</v>
      </c>
      <c r="D154" s="4">
        <v>4.8750000000000002E-2</v>
      </c>
      <c r="E154" s="5">
        <f t="shared" si="12"/>
        <v>8.7072375000001284E-2</v>
      </c>
      <c r="F154" s="1">
        <v>3.5722</v>
      </c>
      <c r="G154" s="1">
        <f t="shared" si="13"/>
        <v>3.6592723750000014</v>
      </c>
    </row>
    <row r="156" spans="1:7" x14ac:dyDescent="0.2">
      <c r="A156" s="2" t="s">
        <v>0</v>
      </c>
      <c r="B156" s="2" t="s">
        <v>10</v>
      </c>
      <c r="C156" s="2" t="s">
        <v>11</v>
      </c>
      <c r="D156" s="2" t="s">
        <v>14</v>
      </c>
      <c r="E156" s="2" t="s">
        <v>12</v>
      </c>
      <c r="F156" s="2" t="s">
        <v>13</v>
      </c>
      <c r="G156" s="2" t="s">
        <v>15</v>
      </c>
    </row>
    <row r="157" spans="1:7" x14ac:dyDescent="0.2">
      <c r="A157" s="1" t="s">
        <v>73</v>
      </c>
      <c r="B157" s="3">
        <v>44078</v>
      </c>
      <c r="C157" s="1">
        <v>100</v>
      </c>
      <c r="D157" s="1">
        <v>0</v>
      </c>
      <c r="E157" s="1">
        <v>0</v>
      </c>
      <c r="F157" s="1">
        <v>0</v>
      </c>
      <c r="G157" s="1">
        <f>F157+E157</f>
        <v>0</v>
      </c>
    </row>
    <row r="158" spans="1:7" x14ac:dyDescent="0.2">
      <c r="A158" s="1" t="s">
        <v>73</v>
      </c>
      <c r="B158" s="3">
        <v>44386</v>
      </c>
      <c r="C158" s="1">
        <v>100</v>
      </c>
      <c r="D158" s="4">
        <v>1.25E-3</v>
      </c>
      <c r="E158" s="5">
        <f t="shared" ref="E158:E198" si="15">((D158*C157)/360)*DAYS360(B157,B158)</f>
        <v>0.10590277777777778</v>
      </c>
      <c r="F158" s="1">
        <v>0</v>
      </c>
      <c r="G158" s="1">
        <f t="shared" ref="G158:G198" si="16">F158+E158</f>
        <v>0.10590277777777778</v>
      </c>
    </row>
    <row r="159" spans="1:7" x14ac:dyDescent="0.2">
      <c r="A159" s="1" t="s">
        <v>73</v>
      </c>
      <c r="B159" s="3">
        <v>44570</v>
      </c>
      <c r="C159" s="1">
        <v>100</v>
      </c>
      <c r="D159" s="4">
        <v>1.125E-2</v>
      </c>
      <c r="E159" s="5">
        <f t="shared" si="15"/>
        <v>0.5625</v>
      </c>
      <c r="F159" s="1">
        <v>0</v>
      </c>
      <c r="G159" s="1">
        <f t="shared" si="16"/>
        <v>0.5625</v>
      </c>
    </row>
    <row r="160" spans="1:7" x14ac:dyDescent="0.2">
      <c r="A160" s="1" t="s">
        <v>73</v>
      </c>
      <c r="B160" s="3">
        <v>44751</v>
      </c>
      <c r="C160" s="1">
        <v>100</v>
      </c>
      <c r="D160" s="4">
        <v>1.125E-2</v>
      </c>
      <c r="E160" s="5">
        <f t="shared" si="15"/>
        <v>0.5625</v>
      </c>
      <c r="F160" s="1">
        <v>0</v>
      </c>
      <c r="G160" s="1">
        <f t="shared" si="16"/>
        <v>0.5625</v>
      </c>
    </row>
    <row r="161" spans="1:7" x14ac:dyDescent="0.2">
      <c r="A161" s="1" t="s">
        <v>73</v>
      </c>
      <c r="B161" s="3">
        <v>44935</v>
      </c>
      <c r="C161" s="1">
        <v>100</v>
      </c>
      <c r="D161" s="4">
        <v>1.4999999999999999E-2</v>
      </c>
      <c r="E161" s="5">
        <f t="shared" si="15"/>
        <v>0.75</v>
      </c>
      <c r="F161" s="1">
        <v>0</v>
      </c>
      <c r="G161" s="1">
        <f t="shared" si="16"/>
        <v>0.75</v>
      </c>
    </row>
    <row r="162" spans="1:7" x14ac:dyDescent="0.2">
      <c r="A162" s="1" t="s">
        <v>73</v>
      </c>
      <c r="B162" s="3">
        <v>45116</v>
      </c>
      <c r="C162" s="1">
        <v>100</v>
      </c>
      <c r="D162" s="4">
        <v>1.4999999999999999E-2</v>
      </c>
      <c r="E162" s="5">
        <f t="shared" si="15"/>
        <v>0.75</v>
      </c>
      <c r="F162" s="1">
        <v>0</v>
      </c>
      <c r="G162" s="1">
        <f t="shared" si="16"/>
        <v>0.75</v>
      </c>
    </row>
    <row r="163" spans="1:7" x14ac:dyDescent="0.2">
      <c r="A163" s="1" t="s">
        <v>73</v>
      </c>
      <c r="B163" s="3">
        <v>45300</v>
      </c>
      <c r="C163" s="1">
        <v>100</v>
      </c>
      <c r="D163" s="4">
        <v>3.6249999999999998E-2</v>
      </c>
      <c r="E163" s="5">
        <f t="shared" si="15"/>
        <v>1.8124999999999998</v>
      </c>
      <c r="F163" s="1">
        <v>0</v>
      </c>
      <c r="G163" s="1">
        <f t="shared" si="16"/>
        <v>1.8124999999999998</v>
      </c>
    </row>
    <row r="164" spans="1:7" x14ac:dyDescent="0.2">
      <c r="A164" s="1" t="s">
        <v>73</v>
      </c>
      <c r="B164" s="3">
        <v>45482</v>
      </c>
      <c r="C164" s="1">
        <v>100</v>
      </c>
      <c r="D164" s="4">
        <v>3.6249999999999998E-2</v>
      </c>
      <c r="E164" s="5">
        <f t="shared" si="15"/>
        <v>1.8124999999999998</v>
      </c>
      <c r="F164" s="1">
        <v>0</v>
      </c>
      <c r="G164" s="1">
        <f t="shared" si="16"/>
        <v>1.8124999999999998</v>
      </c>
    </row>
    <row r="165" spans="1:7" x14ac:dyDescent="0.2">
      <c r="A165" s="1" t="s">
        <v>73</v>
      </c>
      <c r="B165" s="3">
        <v>45666</v>
      </c>
      <c r="C165" s="1">
        <f t="shared" ref="C165:C169" si="17">C164-F165</f>
        <v>97.727272729999996</v>
      </c>
      <c r="D165" s="4">
        <v>4.1250000000000002E-2</v>
      </c>
      <c r="E165" s="5">
        <f t="shared" si="15"/>
        <v>2.0625</v>
      </c>
      <c r="F165" s="1">
        <v>2.2727272699999999</v>
      </c>
      <c r="G165" s="1">
        <f t="shared" si="16"/>
        <v>4.3352272699999999</v>
      </c>
    </row>
    <row r="166" spans="1:7" x14ac:dyDescent="0.2">
      <c r="A166" s="1" t="s">
        <v>73</v>
      </c>
      <c r="B166" s="3">
        <v>45847</v>
      </c>
      <c r="C166" s="1">
        <f t="shared" si="17"/>
        <v>95.454545459999991</v>
      </c>
      <c r="D166" s="4">
        <v>4.1250000000000002E-2</v>
      </c>
      <c r="E166" s="5">
        <f t="shared" si="15"/>
        <v>2.0156250000562501</v>
      </c>
      <c r="F166" s="1">
        <v>2.2727272699999999</v>
      </c>
      <c r="G166" s="1">
        <f t="shared" si="16"/>
        <v>4.28835227005625</v>
      </c>
    </row>
    <row r="167" spans="1:7" x14ac:dyDescent="0.2">
      <c r="A167" s="1" t="s">
        <v>73</v>
      </c>
      <c r="B167" s="3">
        <v>46031</v>
      </c>
      <c r="C167" s="1">
        <f t="shared" si="17"/>
        <v>93.181818189999987</v>
      </c>
      <c r="D167" s="4">
        <v>4.1250000000000002E-2</v>
      </c>
      <c r="E167" s="5">
        <f t="shared" si="15"/>
        <v>1.9687500001124998</v>
      </c>
      <c r="F167" s="1">
        <v>2.2727272699999999</v>
      </c>
      <c r="G167" s="1">
        <f t="shared" si="16"/>
        <v>4.2414772701124992</v>
      </c>
    </row>
    <row r="168" spans="1:7" x14ac:dyDescent="0.2">
      <c r="A168" s="1" t="s">
        <v>73</v>
      </c>
      <c r="B168" s="3">
        <v>46212</v>
      </c>
      <c r="C168" s="1">
        <f t="shared" si="17"/>
        <v>90.909090919999983</v>
      </c>
      <c r="D168" s="4">
        <v>4.1250000000000002E-2</v>
      </c>
      <c r="E168" s="5">
        <f t="shared" si="15"/>
        <v>1.9218750001687501</v>
      </c>
      <c r="F168" s="1">
        <v>2.2727272699999999</v>
      </c>
      <c r="G168" s="1">
        <f t="shared" si="16"/>
        <v>4.1946022701687502</v>
      </c>
    </row>
    <row r="169" spans="1:7" x14ac:dyDescent="0.2">
      <c r="A169" s="1" t="s">
        <v>73</v>
      </c>
      <c r="B169" s="3">
        <v>46396</v>
      </c>
      <c r="C169" s="1">
        <f t="shared" si="17"/>
        <v>88.636363649999979</v>
      </c>
      <c r="D169" s="4">
        <v>4.1250000000000002E-2</v>
      </c>
      <c r="E169" s="5">
        <f t="shared" si="15"/>
        <v>1.875000000225</v>
      </c>
      <c r="F169" s="1">
        <v>2.2727272699999999</v>
      </c>
      <c r="G169" s="1">
        <f t="shared" si="16"/>
        <v>4.1477272702249994</v>
      </c>
    </row>
    <row r="170" spans="1:7" x14ac:dyDescent="0.2">
      <c r="A170" s="1" t="s">
        <v>73</v>
      </c>
      <c r="B170" s="3">
        <v>46577</v>
      </c>
      <c r="C170" s="1">
        <f>C169-F170</f>
        <v>86.363636379999974</v>
      </c>
      <c r="D170" s="4">
        <v>4.1250000000000002E-2</v>
      </c>
      <c r="E170" s="5">
        <f t="shared" si="15"/>
        <v>1.8281250002812497</v>
      </c>
      <c r="F170" s="1">
        <v>2.2727272699999999</v>
      </c>
      <c r="G170" s="1">
        <f t="shared" si="16"/>
        <v>4.1008522702812495</v>
      </c>
    </row>
    <row r="171" spans="1:7" x14ac:dyDescent="0.2">
      <c r="A171" s="1" t="s">
        <v>73</v>
      </c>
      <c r="B171" s="3">
        <v>46761</v>
      </c>
      <c r="C171" s="1">
        <f t="shared" ref="C171:C207" si="18">C170-F171</f>
        <v>84.09090910999997</v>
      </c>
      <c r="D171" s="4">
        <v>4.3749999999999997E-2</v>
      </c>
      <c r="E171" s="5">
        <f t="shared" si="15"/>
        <v>1.8892045458124995</v>
      </c>
      <c r="F171" s="1">
        <v>2.2727272699999999</v>
      </c>
      <c r="G171" s="1">
        <f t="shared" si="16"/>
        <v>4.1619318158124994</v>
      </c>
    </row>
    <row r="172" spans="1:7" x14ac:dyDescent="0.2">
      <c r="A172" s="1" t="s">
        <v>73</v>
      </c>
      <c r="B172" s="3">
        <v>46943</v>
      </c>
      <c r="C172" s="1">
        <f t="shared" si="18"/>
        <v>81.818181839999966</v>
      </c>
      <c r="D172" s="4">
        <v>4.3749999999999997E-2</v>
      </c>
      <c r="E172" s="5">
        <f t="shared" si="15"/>
        <v>1.8394886367812493</v>
      </c>
      <c r="F172" s="1">
        <v>2.2727272699999999</v>
      </c>
      <c r="G172" s="1">
        <f t="shared" si="16"/>
        <v>4.1122159067812492</v>
      </c>
    </row>
    <row r="173" spans="1:7" x14ac:dyDescent="0.2">
      <c r="A173" s="1" t="s">
        <v>73</v>
      </c>
      <c r="B173" s="3">
        <v>47127</v>
      </c>
      <c r="C173" s="1">
        <f t="shared" si="18"/>
        <v>79.545454569999961</v>
      </c>
      <c r="D173" s="4">
        <v>0.05</v>
      </c>
      <c r="E173" s="5">
        <f t="shared" si="15"/>
        <v>2.0454545459999993</v>
      </c>
      <c r="F173" s="1">
        <v>2.2727272699999999</v>
      </c>
      <c r="G173" s="1">
        <f t="shared" si="16"/>
        <v>4.3181818159999992</v>
      </c>
    </row>
    <row r="174" spans="1:7" x14ac:dyDescent="0.2">
      <c r="A174" s="1" t="s">
        <v>73</v>
      </c>
      <c r="B174" s="3">
        <v>47308</v>
      </c>
      <c r="C174" s="1">
        <f t="shared" si="18"/>
        <v>77.272727299999957</v>
      </c>
      <c r="D174" s="4">
        <v>0.05</v>
      </c>
      <c r="E174" s="5">
        <f t="shared" si="15"/>
        <v>1.9886363642499991</v>
      </c>
      <c r="F174" s="1">
        <v>2.2727272699999999</v>
      </c>
      <c r="G174" s="1">
        <f t="shared" si="16"/>
        <v>4.2613636342499994</v>
      </c>
    </row>
    <row r="175" spans="1:7" x14ac:dyDescent="0.2">
      <c r="A175" s="1" t="s">
        <v>73</v>
      </c>
      <c r="B175" s="3">
        <v>47492</v>
      </c>
      <c r="C175" s="1">
        <f t="shared" si="18"/>
        <v>75.000000029999953</v>
      </c>
      <c r="D175" s="4">
        <v>0.05</v>
      </c>
      <c r="E175" s="5">
        <f t="shared" si="15"/>
        <v>1.9318181824999989</v>
      </c>
      <c r="F175" s="1">
        <v>2.2727272699999999</v>
      </c>
      <c r="G175" s="1">
        <f t="shared" si="16"/>
        <v>4.2045454524999988</v>
      </c>
    </row>
    <row r="176" spans="1:7" x14ac:dyDescent="0.2">
      <c r="A176" s="1" t="s">
        <v>73</v>
      </c>
      <c r="B176" s="3">
        <v>47673</v>
      </c>
      <c r="C176" s="1">
        <f t="shared" si="18"/>
        <v>72.727272759999948</v>
      </c>
      <c r="D176" s="4">
        <v>0.05</v>
      </c>
      <c r="E176" s="5">
        <f t="shared" si="15"/>
        <v>1.875000000749999</v>
      </c>
      <c r="F176" s="1">
        <v>2.2727272699999999</v>
      </c>
      <c r="G176" s="1">
        <f t="shared" si="16"/>
        <v>4.147727270749999</v>
      </c>
    </row>
    <row r="177" spans="1:7" x14ac:dyDescent="0.2">
      <c r="A177" s="1" t="s">
        <v>73</v>
      </c>
      <c r="B177" s="3">
        <v>47857</v>
      </c>
      <c r="C177" s="1">
        <f t="shared" si="18"/>
        <v>70.454545489999944</v>
      </c>
      <c r="D177" s="4">
        <v>0.05</v>
      </c>
      <c r="E177" s="5">
        <f t="shared" si="15"/>
        <v>1.8181818189999988</v>
      </c>
      <c r="F177" s="1">
        <v>2.2727272699999999</v>
      </c>
      <c r="G177" s="1">
        <f t="shared" si="16"/>
        <v>4.0909090889999984</v>
      </c>
    </row>
    <row r="178" spans="1:7" x14ac:dyDescent="0.2">
      <c r="A178" s="1" t="s">
        <v>73</v>
      </c>
      <c r="B178" s="3">
        <v>48038</v>
      </c>
      <c r="C178" s="1">
        <f t="shared" si="18"/>
        <v>68.18181821999994</v>
      </c>
      <c r="D178" s="4">
        <v>0.05</v>
      </c>
      <c r="E178" s="5">
        <f t="shared" si="15"/>
        <v>1.7613636372499988</v>
      </c>
      <c r="F178" s="1">
        <v>2.2727272699999999</v>
      </c>
      <c r="G178" s="1">
        <f t="shared" si="16"/>
        <v>4.0340909072499986</v>
      </c>
    </row>
    <row r="179" spans="1:7" x14ac:dyDescent="0.2">
      <c r="A179" s="1" t="s">
        <v>73</v>
      </c>
      <c r="B179" s="3">
        <v>48222</v>
      </c>
      <c r="C179" s="1">
        <f t="shared" si="18"/>
        <v>65.909090949999936</v>
      </c>
      <c r="D179" s="4">
        <v>0.05</v>
      </c>
      <c r="E179" s="5">
        <f t="shared" si="15"/>
        <v>1.7045454554999986</v>
      </c>
      <c r="F179" s="1">
        <v>2.2727272699999999</v>
      </c>
      <c r="G179" s="1">
        <f t="shared" si="16"/>
        <v>3.9772727254999984</v>
      </c>
    </row>
    <row r="180" spans="1:7" x14ac:dyDescent="0.2">
      <c r="A180" s="1" t="s">
        <v>73</v>
      </c>
      <c r="B180" s="3">
        <v>48404</v>
      </c>
      <c r="C180" s="1">
        <f t="shared" si="18"/>
        <v>63.636363679999938</v>
      </c>
      <c r="D180" s="4">
        <v>0.05</v>
      </c>
      <c r="E180" s="5">
        <f t="shared" si="15"/>
        <v>1.6477272737499984</v>
      </c>
      <c r="F180" s="1">
        <v>2.2727272699999999</v>
      </c>
      <c r="G180" s="1">
        <f t="shared" si="16"/>
        <v>3.9204545437499982</v>
      </c>
    </row>
    <row r="181" spans="1:7" x14ac:dyDescent="0.2">
      <c r="A181" s="1" t="s">
        <v>73</v>
      </c>
      <c r="B181" s="3">
        <v>48588</v>
      </c>
      <c r="C181" s="1">
        <f t="shared" si="18"/>
        <v>61.363636409999941</v>
      </c>
      <c r="D181" s="4">
        <v>0.05</v>
      </c>
      <c r="E181" s="5">
        <f t="shared" si="15"/>
        <v>1.5909090919999986</v>
      </c>
      <c r="F181" s="1">
        <v>2.2727272699999999</v>
      </c>
      <c r="G181" s="1">
        <f t="shared" si="16"/>
        <v>3.8636363619999985</v>
      </c>
    </row>
    <row r="182" spans="1:7" x14ac:dyDescent="0.2">
      <c r="A182" s="1" t="s">
        <v>73</v>
      </c>
      <c r="B182" s="3">
        <v>48769</v>
      </c>
      <c r="C182" s="1">
        <f t="shared" si="18"/>
        <v>59.090909139999944</v>
      </c>
      <c r="D182" s="4">
        <v>0.05</v>
      </c>
      <c r="E182" s="5">
        <f t="shared" si="15"/>
        <v>1.5340909102499987</v>
      </c>
      <c r="F182" s="1">
        <v>2.2727272699999999</v>
      </c>
      <c r="G182" s="1">
        <f t="shared" si="16"/>
        <v>3.8068181802499987</v>
      </c>
    </row>
    <row r="183" spans="1:7" x14ac:dyDescent="0.2">
      <c r="A183" s="1" t="s">
        <v>73</v>
      </c>
      <c r="B183" s="3">
        <v>48953</v>
      </c>
      <c r="C183" s="1">
        <f t="shared" si="18"/>
        <v>56.818181869999947</v>
      </c>
      <c r="D183" s="4">
        <v>0.05</v>
      </c>
      <c r="E183" s="5">
        <f t="shared" si="15"/>
        <v>1.4772727284999989</v>
      </c>
      <c r="F183" s="1">
        <v>2.2727272699999999</v>
      </c>
      <c r="G183" s="1">
        <f t="shared" si="16"/>
        <v>3.749999998499999</v>
      </c>
    </row>
    <row r="184" spans="1:7" x14ac:dyDescent="0.2">
      <c r="A184" s="1" t="s">
        <v>73</v>
      </c>
      <c r="B184" s="3">
        <v>49134</v>
      </c>
      <c r="C184" s="1">
        <f t="shared" si="18"/>
        <v>54.54545459999995</v>
      </c>
      <c r="D184" s="4">
        <v>0.05</v>
      </c>
      <c r="E184" s="5">
        <f t="shared" si="15"/>
        <v>1.4204545467499987</v>
      </c>
      <c r="F184" s="1">
        <v>2.2727272699999999</v>
      </c>
      <c r="G184" s="1">
        <f t="shared" si="16"/>
        <v>3.6931818167499983</v>
      </c>
    </row>
    <row r="185" spans="1:7" x14ac:dyDescent="0.2">
      <c r="A185" s="1" t="s">
        <v>73</v>
      </c>
      <c r="B185" s="3">
        <v>49318</v>
      </c>
      <c r="C185" s="1">
        <f t="shared" si="18"/>
        <v>52.272727329999952</v>
      </c>
      <c r="D185" s="4">
        <v>0.05</v>
      </c>
      <c r="E185" s="5">
        <f t="shared" si="15"/>
        <v>1.3636363649999987</v>
      </c>
      <c r="F185" s="1">
        <v>2.2727272699999999</v>
      </c>
      <c r="G185" s="1">
        <f t="shared" si="16"/>
        <v>3.6363636349999986</v>
      </c>
    </row>
    <row r="186" spans="1:7" x14ac:dyDescent="0.2">
      <c r="A186" s="1" t="s">
        <v>73</v>
      </c>
      <c r="B186" s="3">
        <v>49499</v>
      </c>
      <c r="C186" s="1">
        <f t="shared" si="18"/>
        <v>50.000000059999955</v>
      </c>
      <c r="D186" s="4">
        <v>0.05</v>
      </c>
      <c r="E186" s="5">
        <f t="shared" si="15"/>
        <v>1.306818183249999</v>
      </c>
      <c r="F186" s="1">
        <v>2.2727272699999999</v>
      </c>
      <c r="G186" s="1">
        <f t="shared" si="16"/>
        <v>3.5795454532499988</v>
      </c>
    </row>
    <row r="187" spans="1:7" x14ac:dyDescent="0.2">
      <c r="A187" s="1" t="s">
        <v>73</v>
      </c>
      <c r="B187" s="3">
        <v>49683</v>
      </c>
      <c r="C187" s="1">
        <f t="shared" si="18"/>
        <v>47.727272789999958</v>
      </c>
      <c r="D187" s="4">
        <v>0.05</v>
      </c>
      <c r="E187" s="5">
        <f t="shared" si="15"/>
        <v>1.250000001499999</v>
      </c>
      <c r="F187" s="1">
        <v>2.2727272699999999</v>
      </c>
      <c r="G187" s="1">
        <f t="shared" si="16"/>
        <v>3.5227272714999991</v>
      </c>
    </row>
    <row r="188" spans="1:7" x14ac:dyDescent="0.2">
      <c r="A188" s="1" t="s">
        <v>73</v>
      </c>
      <c r="B188" s="3">
        <v>49865</v>
      </c>
      <c r="C188" s="1">
        <f t="shared" si="18"/>
        <v>45.454545519999961</v>
      </c>
      <c r="D188" s="4">
        <v>0.05</v>
      </c>
      <c r="E188" s="5">
        <f t="shared" si="15"/>
        <v>1.193181819749999</v>
      </c>
      <c r="F188" s="1">
        <v>2.2727272699999999</v>
      </c>
      <c r="G188" s="1">
        <f t="shared" si="16"/>
        <v>3.4659090897499989</v>
      </c>
    </row>
    <row r="189" spans="1:7" x14ac:dyDescent="0.2">
      <c r="A189" s="1" t="s">
        <v>73</v>
      </c>
      <c r="B189" s="3">
        <v>50049</v>
      </c>
      <c r="C189" s="1">
        <f t="shared" si="18"/>
        <v>43.181818249999964</v>
      </c>
      <c r="D189" s="4">
        <v>0.05</v>
      </c>
      <c r="E189" s="5">
        <f t="shared" si="15"/>
        <v>1.1363636379999991</v>
      </c>
      <c r="F189" s="1">
        <v>2.2727272699999999</v>
      </c>
      <c r="G189" s="1">
        <f t="shared" si="16"/>
        <v>3.4090909079999987</v>
      </c>
    </row>
    <row r="190" spans="1:7" x14ac:dyDescent="0.2">
      <c r="A190" s="1" t="s">
        <v>73</v>
      </c>
      <c r="B190" s="3">
        <v>50230</v>
      </c>
      <c r="C190" s="1">
        <f t="shared" si="18"/>
        <v>40.909090979999966</v>
      </c>
      <c r="D190" s="4">
        <v>0.05</v>
      </c>
      <c r="E190" s="5">
        <f t="shared" si="15"/>
        <v>1.0795454562499991</v>
      </c>
      <c r="F190" s="1">
        <v>2.2727272699999999</v>
      </c>
      <c r="G190" s="1">
        <f t="shared" si="16"/>
        <v>3.3522727262499989</v>
      </c>
    </row>
    <row r="191" spans="1:7" x14ac:dyDescent="0.2">
      <c r="A191" s="1" t="s">
        <v>73</v>
      </c>
      <c r="B191" s="3">
        <v>50414</v>
      </c>
      <c r="C191" s="1">
        <f t="shared" si="18"/>
        <v>38.636363709999969</v>
      </c>
      <c r="D191" s="4">
        <v>0.05</v>
      </c>
      <c r="E191" s="5">
        <f t="shared" si="15"/>
        <v>1.0227272744999991</v>
      </c>
      <c r="F191" s="1">
        <v>2.2727272699999999</v>
      </c>
      <c r="G191" s="1">
        <f t="shared" si="16"/>
        <v>3.2954545444999992</v>
      </c>
    </row>
    <row r="192" spans="1:7" x14ac:dyDescent="0.2">
      <c r="A192" s="1" t="s">
        <v>73</v>
      </c>
      <c r="B192" s="3">
        <v>50595</v>
      </c>
      <c r="C192" s="1">
        <f t="shared" si="18"/>
        <v>36.363636439999972</v>
      </c>
      <c r="D192" s="4">
        <v>0.05</v>
      </c>
      <c r="E192" s="5">
        <f t="shared" si="15"/>
        <v>0.96590909274999925</v>
      </c>
      <c r="F192" s="1">
        <v>2.2727272699999999</v>
      </c>
      <c r="G192" s="1">
        <f t="shared" si="16"/>
        <v>3.238636362749999</v>
      </c>
    </row>
    <row r="193" spans="1:7" x14ac:dyDescent="0.2">
      <c r="A193" s="1" t="s">
        <v>73</v>
      </c>
      <c r="B193" s="3">
        <v>50779</v>
      </c>
      <c r="C193" s="1">
        <f t="shared" si="18"/>
        <v>34.090909169999975</v>
      </c>
      <c r="D193" s="4">
        <v>0.05</v>
      </c>
      <c r="E193" s="5">
        <f t="shared" si="15"/>
        <v>0.90909091099999939</v>
      </c>
      <c r="F193" s="1">
        <v>2.2727272699999999</v>
      </c>
      <c r="G193" s="1">
        <f t="shared" si="16"/>
        <v>3.1818181809999992</v>
      </c>
    </row>
    <row r="194" spans="1:7" x14ac:dyDescent="0.2">
      <c r="A194" s="1" t="s">
        <v>73</v>
      </c>
      <c r="B194" s="3">
        <v>50960</v>
      </c>
      <c r="C194" s="1">
        <f t="shared" si="18"/>
        <v>31.818181899999974</v>
      </c>
      <c r="D194" s="4">
        <v>0.05</v>
      </c>
      <c r="E194" s="5">
        <f t="shared" si="15"/>
        <v>0.85227272924999942</v>
      </c>
      <c r="F194" s="1">
        <v>2.2727272699999999</v>
      </c>
      <c r="G194" s="1">
        <f t="shared" si="16"/>
        <v>3.124999999249999</v>
      </c>
    </row>
    <row r="195" spans="1:7" x14ac:dyDescent="0.2">
      <c r="A195" s="1" t="s">
        <v>73</v>
      </c>
      <c r="B195" s="3">
        <v>51144</v>
      </c>
      <c r="C195" s="1">
        <f t="shared" si="18"/>
        <v>29.545454629999973</v>
      </c>
      <c r="D195" s="4">
        <v>0.05</v>
      </c>
      <c r="E195" s="5">
        <f t="shared" si="15"/>
        <v>0.79545454749999944</v>
      </c>
      <c r="F195" s="1">
        <v>2.2727272699999999</v>
      </c>
      <c r="G195" s="1">
        <f t="shared" si="16"/>
        <v>3.0681818174999993</v>
      </c>
    </row>
    <row r="196" spans="1:7" x14ac:dyDescent="0.2">
      <c r="A196" s="1" t="s">
        <v>73</v>
      </c>
      <c r="B196" s="3">
        <v>51326</v>
      </c>
      <c r="C196" s="1">
        <f t="shared" si="18"/>
        <v>27.272727359999973</v>
      </c>
      <c r="D196" s="4">
        <v>0.05</v>
      </c>
      <c r="E196" s="5">
        <f t="shared" si="15"/>
        <v>0.73863636574999936</v>
      </c>
      <c r="F196" s="1">
        <v>2.2727272699999999</v>
      </c>
      <c r="G196" s="1">
        <f t="shared" si="16"/>
        <v>3.0113636357499991</v>
      </c>
    </row>
    <row r="197" spans="1:7" x14ac:dyDescent="0.2">
      <c r="A197" s="1" t="s">
        <v>73</v>
      </c>
      <c r="B197" s="3">
        <v>51510</v>
      </c>
      <c r="C197" s="1">
        <f t="shared" si="18"/>
        <v>25.000000089999972</v>
      </c>
      <c r="D197" s="4">
        <v>0.05</v>
      </c>
      <c r="E197" s="5">
        <f t="shared" si="15"/>
        <v>0.68181818399999938</v>
      </c>
      <c r="F197" s="1">
        <v>2.2727272699999999</v>
      </c>
      <c r="G197" s="1">
        <f t="shared" si="16"/>
        <v>2.9545454539999993</v>
      </c>
    </row>
    <row r="198" spans="1:7" x14ac:dyDescent="0.2">
      <c r="A198" s="1" t="s">
        <v>73</v>
      </c>
      <c r="B198" s="3">
        <v>51691</v>
      </c>
      <c r="C198" s="1">
        <f t="shared" si="18"/>
        <v>22.727272819999971</v>
      </c>
      <c r="D198" s="4">
        <v>0.05</v>
      </c>
      <c r="E198" s="5">
        <f t="shared" si="15"/>
        <v>0.6250000022499993</v>
      </c>
      <c r="F198" s="1">
        <v>2.2727272699999999</v>
      </c>
      <c r="G198" s="1">
        <f t="shared" si="16"/>
        <v>2.8977272722499992</v>
      </c>
    </row>
    <row r="199" spans="1:7" x14ac:dyDescent="0.2">
      <c r="A199" s="1" t="s">
        <v>73</v>
      </c>
      <c r="B199" s="3">
        <v>51875</v>
      </c>
      <c r="C199" s="1">
        <f t="shared" si="18"/>
        <v>20.45454554999997</v>
      </c>
      <c r="D199" s="4">
        <v>0.05</v>
      </c>
      <c r="E199" s="5">
        <f t="shared" ref="E199:E208" si="19">((D199*C198)/360)*DAYS360(B198,B199)</f>
        <v>0.56818182049999932</v>
      </c>
      <c r="F199" s="1">
        <v>2.2727272699999999</v>
      </c>
      <c r="G199" s="1">
        <f t="shared" ref="G199:G208" si="20">F199+E199</f>
        <v>2.8409090904999994</v>
      </c>
    </row>
    <row r="200" spans="1:7" x14ac:dyDescent="0.2">
      <c r="A200" s="1" t="s">
        <v>73</v>
      </c>
      <c r="B200" s="3">
        <v>52056</v>
      </c>
      <c r="C200" s="1">
        <f t="shared" si="18"/>
        <v>18.18181827999997</v>
      </c>
      <c r="D200" s="4">
        <v>0.05</v>
      </c>
      <c r="E200" s="5">
        <f t="shared" si="19"/>
        <v>0.51136363874999924</v>
      </c>
      <c r="F200" s="1">
        <v>2.2727272699999999</v>
      </c>
      <c r="G200" s="1">
        <f t="shared" si="20"/>
        <v>2.7840909087499992</v>
      </c>
    </row>
    <row r="201" spans="1:7" x14ac:dyDescent="0.2">
      <c r="A201" s="1" t="s">
        <v>73</v>
      </c>
      <c r="B201" s="3">
        <v>52240</v>
      </c>
      <c r="C201" s="1">
        <f t="shared" si="18"/>
        <v>15.909091009999969</v>
      </c>
      <c r="D201" s="4">
        <v>0.05</v>
      </c>
      <c r="E201" s="5">
        <f t="shared" si="19"/>
        <v>0.45454545699999926</v>
      </c>
      <c r="F201" s="1">
        <v>2.2727272699999999</v>
      </c>
      <c r="G201" s="1">
        <f t="shared" si="20"/>
        <v>2.727272726999999</v>
      </c>
    </row>
    <row r="202" spans="1:7" x14ac:dyDescent="0.2">
      <c r="A202" s="1" t="s">
        <v>73</v>
      </c>
      <c r="B202" s="3">
        <v>52421</v>
      </c>
      <c r="C202" s="1">
        <f t="shared" si="18"/>
        <v>13.636363739999968</v>
      </c>
      <c r="D202" s="4">
        <v>0.05</v>
      </c>
      <c r="E202" s="5">
        <f t="shared" si="19"/>
        <v>0.39772727524999929</v>
      </c>
      <c r="F202" s="1">
        <v>2.2727272699999999</v>
      </c>
      <c r="G202" s="1">
        <f t="shared" si="20"/>
        <v>2.6704545452499993</v>
      </c>
    </row>
    <row r="203" spans="1:7" x14ac:dyDescent="0.2">
      <c r="A203" s="1" t="s">
        <v>73</v>
      </c>
      <c r="B203" s="3">
        <v>52605</v>
      </c>
      <c r="C203" s="1">
        <f t="shared" si="18"/>
        <v>11.363636469999967</v>
      </c>
      <c r="D203" s="4">
        <v>0.05</v>
      </c>
      <c r="E203" s="5">
        <f t="shared" si="19"/>
        <v>0.34090909349999921</v>
      </c>
      <c r="F203" s="1">
        <v>2.2727272699999999</v>
      </c>
      <c r="G203" s="1">
        <f t="shared" si="20"/>
        <v>2.6136363634999991</v>
      </c>
    </row>
    <row r="204" spans="1:7" x14ac:dyDescent="0.2">
      <c r="A204" s="1" t="s">
        <v>73</v>
      </c>
      <c r="B204" s="3">
        <v>52787</v>
      </c>
      <c r="C204" s="1">
        <f t="shared" si="18"/>
        <v>9.0909091999999667</v>
      </c>
      <c r="D204" s="4">
        <v>0.05</v>
      </c>
      <c r="E204" s="5">
        <f t="shared" si="19"/>
        <v>0.28409091174999918</v>
      </c>
      <c r="F204" s="1">
        <v>2.2727272699999999</v>
      </c>
      <c r="G204" s="1">
        <f t="shared" si="20"/>
        <v>2.5568181817499989</v>
      </c>
    </row>
    <row r="205" spans="1:7" x14ac:dyDescent="0.2">
      <c r="A205" s="1" t="s">
        <v>73</v>
      </c>
      <c r="B205" s="3">
        <v>52971</v>
      </c>
      <c r="C205" s="1">
        <f t="shared" si="18"/>
        <v>6.8181819299999669</v>
      </c>
      <c r="D205" s="4">
        <v>0.05</v>
      </c>
      <c r="E205" s="5">
        <f t="shared" si="19"/>
        <v>0.22727272999999917</v>
      </c>
      <c r="F205" s="1">
        <v>2.2727272699999999</v>
      </c>
      <c r="G205" s="1">
        <f t="shared" si="20"/>
        <v>2.4999999999999991</v>
      </c>
    </row>
    <row r="206" spans="1:7" x14ac:dyDescent="0.2">
      <c r="A206" s="1" t="s">
        <v>73</v>
      </c>
      <c r="B206" s="3">
        <v>53152</v>
      </c>
      <c r="C206" s="1">
        <f t="shared" si="18"/>
        <v>4.545454659999967</v>
      </c>
      <c r="D206" s="4">
        <v>0.05</v>
      </c>
      <c r="E206" s="5">
        <f t="shared" si="19"/>
        <v>0.17045454824999917</v>
      </c>
      <c r="F206" s="1">
        <v>2.2727272699999999</v>
      </c>
      <c r="G206" s="1">
        <f t="shared" si="20"/>
        <v>2.4431818182499989</v>
      </c>
    </row>
    <row r="207" spans="1:7" x14ac:dyDescent="0.2">
      <c r="A207" s="1" t="s">
        <v>73</v>
      </c>
      <c r="B207" s="3">
        <v>53336</v>
      </c>
      <c r="C207" s="1">
        <f t="shared" si="18"/>
        <v>2.2727273899999672</v>
      </c>
      <c r="D207" s="4">
        <v>0.05</v>
      </c>
      <c r="E207" s="5">
        <f t="shared" si="19"/>
        <v>0.11363636649999918</v>
      </c>
      <c r="F207" s="1">
        <v>2.2727272699999999</v>
      </c>
      <c r="G207" s="1">
        <f t="shared" si="20"/>
        <v>2.3863636364999992</v>
      </c>
    </row>
    <row r="208" spans="1:7" x14ac:dyDescent="0.2">
      <c r="A208" s="1" t="s">
        <v>73</v>
      </c>
      <c r="B208" s="3">
        <v>53517</v>
      </c>
      <c r="C208" s="1">
        <v>0</v>
      </c>
      <c r="D208" s="4">
        <v>0.05</v>
      </c>
      <c r="E208" s="5">
        <f t="shared" si="19"/>
        <v>5.6818184749999182E-2</v>
      </c>
      <c r="F208" s="1">
        <v>2.2727272699999999</v>
      </c>
      <c r="G208" s="1">
        <f t="shared" si="20"/>
        <v>2.329545454749999</v>
      </c>
    </row>
    <row r="209" spans="1:7" x14ac:dyDescent="0.2">
      <c r="A209" s="1"/>
      <c r="B209" s="3"/>
      <c r="C209" s="1"/>
      <c r="D209" s="4"/>
      <c r="E209" s="5"/>
      <c r="F209" s="1"/>
      <c r="G209" s="1"/>
    </row>
    <row r="210" spans="1:7" x14ac:dyDescent="0.2">
      <c r="A210" s="1"/>
      <c r="B210" s="3"/>
      <c r="C210" s="1"/>
      <c r="D210" s="4"/>
      <c r="E210" s="5"/>
      <c r="F210" s="1"/>
      <c r="G210" s="1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994C8-E751-45DD-BADE-8391DD033366}">
  <dimension ref="A1:G55"/>
  <sheetViews>
    <sheetView topLeftCell="A31" workbookViewId="0">
      <selection activeCell="D44" sqref="D44"/>
    </sheetView>
  </sheetViews>
  <sheetFormatPr baseColWidth="10" defaultRowHeight="15" x14ac:dyDescent="0.2"/>
  <sheetData>
    <row r="1" spans="1:7" x14ac:dyDescent="0.2">
      <c r="A1" s="2" t="s">
        <v>0</v>
      </c>
      <c r="B1" s="2" t="s">
        <v>10</v>
      </c>
      <c r="C1" s="2" t="s">
        <v>11</v>
      </c>
      <c r="D1" s="2" t="s">
        <v>14</v>
      </c>
      <c r="E1" s="2" t="s">
        <v>12</v>
      </c>
      <c r="F1" s="2" t="s">
        <v>13</v>
      </c>
      <c r="G1" s="2" t="s">
        <v>15</v>
      </c>
    </row>
    <row r="2" spans="1:7" x14ac:dyDescent="0.2">
      <c r="A2" s="1" t="s">
        <v>78</v>
      </c>
      <c r="B2" s="3">
        <v>45296</v>
      </c>
      <c r="C2" s="1">
        <v>100</v>
      </c>
      <c r="D2" s="1">
        <v>0</v>
      </c>
      <c r="E2" s="1">
        <v>0</v>
      </c>
      <c r="F2" s="1">
        <v>0</v>
      </c>
      <c r="G2" s="1">
        <f>F2+E2</f>
        <v>0</v>
      </c>
    </row>
    <row r="3" spans="1:7" x14ac:dyDescent="0.2">
      <c r="A3" s="1" t="s">
        <v>78</v>
      </c>
      <c r="B3" s="3">
        <v>45596</v>
      </c>
      <c r="C3" s="1">
        <v>100</v>
      </c>
      <c r="D3" s="4">
        <v>0.05</v>
      </c>
      <c r="E3" s="5">
        <f t="shared" ref="E3" si="0">((D3*C2)/360)*DAYS360(B2,B3)</f>
        <v>4.1111111111111107</v>
      </c>
      <c r="F3" s="1">
        <v>0</v>
      </c>
      <c r="G3" s="1">
        <f t="shared" ref="G3" si="1">F3+E3</f>
        <v>4.1111111111111107</v>
      </c>
    </row>
    <row r="4" spans="1:7" x14ac:dyDescent="0.2">
      <c r="A4" s="1" t="s">
        <v>78</v>
      </c>
      <c r="B4" s="3">
        <v>45777</v>
      </c>
      <c r="C4" s="1">
        <v>100</v>
      </c>
      <c r="D4" s="4">
        <v>0.05</v>
      </c>
      <c r="E4" s="5">
        <f t="shared" ref="E4:E9" si="2">((D4*C3)/360)*DAYS360(B3,B4)</f>
        <v>2.5</v>
      </c>
      <c r="F4" s="1">
        <v>0</v>
      </c>
      <c r="G4" s="1">
        <f t="shared" ref="G4:G9" si="3">F4+E4</f>
        <v>2.5</v>
      </c>
    </row>
    <row r="5" spans="1:7" x14ac:dyDescent="0.2">
      <c r="A5" s="1" t="s">
        <v>78</v>
      </c>
      <c r="B5" s="3">
        <v>45961</v>
      </c>
      <c r="C5" s="1">
        <v>100</v>
      </c>
      <c r="D5" s="4">
        <v>0.05</v>
      </c>
      <c r="E5" s="5">
        <f t="shared" si="2"/>
        <v>2.5</v>
      </c>
      <c r="F5" s="1">
        <v>0</v>
      </c>
      <c r="G5" s="1">
        <f t="shared" si="3"/>
        <v>2.5</v>
      </c>
    </row>
    <row r="6" spans="1:7" x14ac:dyDescent="0.2">
      <c r="A6" s="1" t="s">
        <v>78</v>
      </c>
      <c r="B6" s="3">
        <v>46142</v>
      </c>
      <c r="C6" s="1">
        <v>100</v>
      </c>
      <c r="D6" s="4">
        <v>0.05</v>
      </c>
      <c r="E6" s="5">
        <f t="shared" si="2"/>
        <v>2.5</v>
      </c>
      <c r="F6" s="1">
        <v>0</v>
      </c>
      <c r="G6" s="1">
        <f t="shared" si="3"/>
        <v>2.5</v>
      </c>
    </row>
    <row r="7" spans="1:7" x14ac:dyDescent="0.2">
      <c r="A7" s="1" t="s">
        <v>78</v>
      </c>
      <c r="B7" s="3">
        <v>46326</v>
      </c>
      <c r="C7" s="1">
        <v>100</v>
      </c>
      <c r="D7" s="4">
        <v>0.05</v>
      </c>
      <c r="E7" s="5">
        <f t="shared" si="2"/>
        <v>2.5</v>
      </c>
      <c r="F7" s="1">
        <v>0</v>
      </c>
      <c r="G7" s="1">
        <f t="shared" si="3"/>
        <v>2.5</v>
      </c>
    </row>
    <row r="8" spans="1:7" x14ac:dyDescent="0.2">
      <c r="A8" s="1" t="s">
        <v>78</v>
      </c>
      <c r="B8" s="3">
        <v>46507</v>
      </c>
      <c r="C8" s="1">
        <f>C7-F8</f>
        <v>50</v>
      </c>
      <c r="D8" s="4">
        <v>0.05</v>
      </c>
      <c r="E8" s="5">
        <f t="shared" si="2"/>
        <v>2.5</v>
      </c>
      <c r="F8" s="1">
        <v>50</v>
      </c>
      <c r="G8" s="1">
        <f t="shared" si="3"/>
        <v>52.5</v>
      </c>
    </row>
    <row r="9" spans="1:7" x14ac:dyDescent="0.2">
      <c r="A9" s="1" t="s">
        <v>78</v>
      </c>
      <c r="B9" s="3">
        <v>46691</v>
      </c>
      <c r="C9" s="1">
        <f>C8-F9</f>
        <v>0</v>
      </c>
      <c r="D9" s="4">
        <v>0.05</v>
      </c>
      <c r="E9" s="5">
        <f t="shared" si="2"/>
        <v>1.25</v>
      </c>
      <c r="F9" s="1">
        <v>50</v>
      </c>
      <c r="G9" s="1">
        <f t="shared" si="3"/>
        <v>51.25</v>
      </c>
    </row>
    <row r="11" spans="1:7" x14ac:dyDescent="0.2">
      <c r="A11" s="2" t="s">
        <v>0</v>
      </c>
      <c r="B11" s="2" t="s">
        <v>10</v>
      </c>
      <c r="C11" s="2" t="s">
        <v>11</v>
      </c>
      <c r="D11" s="2" t="s">
        <v>14</v>
      </c>
      <c r="E11" s="2" t="s">
        <v>12</v>
      </c>
      <c r="F11" s="2" t="s">
        <v>13</v>
      </c>
      <c r="G11" s="2" t="s">
        <v>15</v>
      </c>
    </row>
    <row r="12" spans="1:7" x14ac:dyDescent="0.2">
      <c r="A12" s="1" t="s">
        <v>79</v>
      </c>
      <c r="B12" s="3">
        <v>45296</v>
      </c>
      <c r="C12" s="1">
        <v>100</v>
      </c>
      <c r="D12" s="1">
        <v>0</v>
      </c>
      <c r="E12" s="1">
        <v>0</v>
      </c>
      <c r="F12" s="1">
        <v>0</v>
      </c>
      <c r="G12" s="1">
        <f>F12+E12</f>
        <v>0</v>
      </c>
    </row>
    <row r="13" spans="1:7" x14ac:dyDescent="0.2">
      <c r="A13" s="1" t="s">
        <v>79</v>
      </c>
      <c r="B13" s="3">
        <v>45596</v>
      </c>
      <c r="C13" s="1">
        <v>100</v>
      </c>
      <c r="D13" s="4">
        <v>0.05</v>
      </c>
      <c r="E13" s="5">
        <f t="shared" ref="E13:E19" si="4">((D13*C12)/360)*DAYS360(B12,B13)</f>
        <v>4.1111111111111107</v>
      </c>
      <c r="F13" s="1">
        <v>0</v>
      </c>
      <c r="G13" s="1">
        <f t="shared" ref="G13:G19" si="5">F13+E13</f>
        <v>4.1111111111111107</v>
      </c>
    </row>
    <row r="14" spans="1:7" x14ac:dyDescent="0.2">
      <c r="A14" s="1" t="s">
        <v>79</v>
      </c>
      <c r="B14" s="3">
        <v>45777</v>
      </c>
      <c r="C14" s="1">
        <v>100</v>
      </c>
      <c r="D14" s="4">
        <v>0.05</v>
      </c>
      <c r="E14" s="5">
        <f t="shared" si="4"/>
        <v>2.5</v>
      </c>
      <c r="F14" s="1">
        <v>0</v>
      </c>
      <c r="G14" s="1">
        <f t="shared" si="5"/>
        <v>2.5</v>
      </c>
    </row>
    <row r="15" spans="1:7" x14ac:dyDescent="0.2">
      <c r="A15" s="1" t="s">
        <v>79</v>
      </c>
      <c r="B15" s="3">
        <v>45961</v>
      </c>
      <c r="C15" s="1">
        <v>100</v>
      </c>
      <c r="D15" s="4">
        <v>0.05</v>
      </c>
      <c r="E15" s="5">
        <f t="shared" si="4"/>
        <v>2.5</v>
      </c>
      <c r="F15" s="1">
        <v>0</v>
      </c>
      <c r="G15" s="1">
        <f t="shared" si="5"/>
        <v>2.5</v>
      </c>
    </row>
    <row r="16" spans="1:7" x14ac:dyDescent="0.2">
      <c r="A16" s="1" t="s">
        <v>79</v>
      </c>
      <c r="B16" s="3">
        <v>46142</v>
      </c>
      <c r="C16" s="1">
        <v>100</v>
      </c>
      <c r="D16" s="4">
        <v>0.05</v>
      </c>
      <c r="E16" s="5">
        <f t="shared" si="4"/>
        <v>2.5</v>
      </c>
      <c r="F16" s="1">
        <v>0</v>
      </c>
      <c r="G16" s="1">
        <f t="shared" si="5"/>
        <v>2.5</v>
      </c>
    </row>
    <row r="17" spans="1:7" x14ac:dyDescent="0.2">
      <c r="A17" s="1" t="s">
        <v>79</v>
      </c>
      <c r="B17" s="3">
        <v>46326</v>
      </c>
      <c r="C17" s="1">
        <v>100</v>
      </c>
      <c r="D17" s="4">
        <v>0.05</v>
      </c>
      <c r="E17" s="5">
        <f t="shared" si="4"/>
        <v>2.5</v>
      </c>
      <c r="F17" s="1">
        <v>0</v>
      </c>
      <c r="G17" s="1">
        <f t="shared" si="5"/>
        <v>2.5</v>
      </c>
    </row>
    <row r="18" spans="1:7" x14ac:dyDescent="0.2">
      <c r="A18" s="1" t="s">
        <v>79</v>
      </c>
      <c r="B18" s="3">
        <v>46507</v>
      </c>
      <c r="C18" s="1">
        <f>C17-F18</f>
        <v>50</v>
      </c>
      <c r="D18" s="4">
        <v>0.05</v>
      </c>
      <c r="E18" s="5">
        <f t="shared" si="4"/>
        <v>2.5</v>
      </c>
      <c r="F18" s="1">
        <v>50</v>
      </c>
      <c r="G18" s="1">
        <f t="shared" si="5"/>
        <v>52.5</v>
      </c>
    </row>
    <row r="19" spans="1:7" x14ac:dyDescent="0.2">
      <c r="A19" s="1" t="s">
        <v>79</v>
      </c>
      <c r="B19" s="3">
        <v>46691</v>
      </c>
      <c r="C19" s="1">
        <f>C18-F19</f>
        <v>0</v>
      </c>
      <c r="D19" s="4">
        <v>0.05</v>
      </c>
      <c r="E19" s="5">
        <f t="shared" si="4"/>
        <v>1.25</v>
      </c>
      <c r="F19" s="1">
        <v>50</v>
      </c>
      <c r="G19" s="1">
        <f t="shared" si="5"/>
        <v>51.25</v>
      </c>
    </row>
    <row r="21" spans="1:7" x14ac:dyDescent="0.2">
      <c r="A21" s="2" t="s">
        <v>0</v>
      </c>
      <c r="B21" s="2" t="s">
        <v>10</v>
      </c>
      <c r="C21" s="2" t="s">
        <v>11</v>
      </c>
      <c r="D21" s="2" t="s">
        <v>14</v>
      </c>
      <c r="E21" s="2" t="s">
        <v>12</v>
      </c>
      <c r="F21" s="2" t="s">
        <v>13</v>
      </c>
      <c r="G21" s="2" t="s">
        <v>15</v>
      </c>
    </row>
    <row r="22" spans="1:7" x14ac:dyDescent="0.2">
      <c r="A22" s="1" t="s">
        <v>80</v>
      </c>
      <c r="B22" s="3">
        <v>45832</v>
      </c>
      <c r="C22" s="1">
        <v>100</v>
      </c>
      <c r="D22" s="1">
        <v>0</v>
      </c>
      <c r="E22" s="1">
        <v>0</v>
      </c>
      <c r="F22" s="1">
        <v>0</v>
      </c>
      <c r="G22" s="1">
        <f>F22+E22</f>
        <v>0</v>
      </c>
    </row>
    <row r="23" spans="1:7" x14ac:dyDescent="0.2">
      <c r="A23" s="1" t="s">
        <v>80</v>
      </c>
      <c r="B23" s="3">
        <v>45961</v>
      </c>
      <c r="C23" s="1">
        <v>100</v>
      </c>
      <c r="D23" s="4">
        <v>0.03</v>
      </c>
      <c r="E23" s="5">
        <f t="shared" ref="E23:E29" si="6">((D23*C22)/360)*DAYS360(B22,B23)</f>
        <v>1.0583333333333333</v>
      </c>
      <c r="F23" s="1">
        <v>0</v>
      </c>
      <c r="G23" s="1">
        <f t="shared" ref="G23:G29" si="7">F23+E23</f>
        <v>1.0583333333333333</v>
      </c>
    </row>
    <row r="24" spans="1:7" x14ac:dyDescent="0.2">
      <c r="A24" s="1" t="s">
        <v>80</v>
      </c>
      <c r="B24" s="3">
        <v>46142</v>
      </c>
      <c r="C24" s="1">
        <v>100</v>
      </c>
      <c r="D24" s="4">
        <v>0.03</v>
      </c>
      <c r="E24" s="5">
        <f t="shared" si="6"/>
        <v>1.5</v>
      </c>
      <c r="F24" s="1">
        <v>0</v>
      </c>
      <c r="G24" s="1">
        <f t="shared" si="7"/>
        <v>1.5</v>
      </c>
    </row>
    <row r="25" spans="1:7" x14ac:dyDescent="0.2">
      <c r="A25" s="1" t="s">
        <v>80</v>
      </c>
      <c r="B25" s="3">
        <v>46326</v>
      </c>
      <c r="C25" s="1">
        <v>100</v>
      </c>
      <c r="D25" s="4">
        <v>0.03</v>
      </c>
      <c r="E25" s="5">
        <f t="shared" si="6"/>
        <v>1.5</v>
      </c>
      <c r="F25" s="1">
        <v>0</v>
      </c>
      <c r="G25" s="1">
        <f t="shared" si="7"/>
        <v>1.5</v>
      </c>
    </row>
    <row r="26" spans="1:7" x14ac:dyDescent="0.2">
      <c r="A26" s="1" t="s">
        <v>80</v>
      </c>
      <c r="B26" s="3">
        <v>46507</v>
      </c>
      <c r="C26" s="1">
        <f>C25-F26</f>
        <v>100</v>
      </c>
      <c r="D26" s="4">
        <v>0.03</v>
      </c>
      <c r="E26" s="5">
        <f t="shared" si="6"/>
        <v>1.5</v>
      </c>
      <c r="F26" s="1">
        <v>0</v>
      </c>
      <c r="G26" s="1">
        <f t="shared" si="7"/>
        <v>1.5</v>
      </c>
    </row>
    <row r="27" spans="1:7" x14ac:dyDescent="0.2">
      <c r="A27" s="1" t="s">
        <v>80</v>
      </c>
      <c r="B27" s="3">
        <v>46691</v>
      </c>
      <c r="C27" s="1">
        <f>C26-F27</f>
        <v>100</v>
      </c>
      <c r="D27" s="4">
        <v>0.03</v>
      </c>
      <c r="E27" s="5">
        <f t="shared" si="6"/>
        <v>1.5</v>
      </c>
      <c r="F27" s="1">
        <v>0</v>
      </c>
      <c r="G27" s="1">
        <f t="shared" si="7"/>
        <v>1.5</v>
      </c>
    </row>
    <row r="28" spans="1:7" x14ac:dyDescent="0.2">
      <c r="A28" s="1" t="s">
        <v>80</v>
      </c>
      <c r="B28" s="3">
        <v>46873</v>
      </c>
      <c r="C28" s="1">
        <f t="shared" ref="C28:C29" si="8">C27-F28</f>
        <v>100</v>
      </c>
      <c r="D28" s="4">
        <v>0.03</v>
      </c>
      <c r="E28" s="5">
        <f t="shared" si="6"/>
        <v>1.5</v>
      </c>
      <c r="F28" s="1">
        <v>0</v>
      </c>
      <c r="G28" s="1">
        <f t="shared" si="7"/>
        <v>1.5</v>
      </c>
    </row>
    <row r="29" spans="1:7" x14ac:dyDescent="0.2">
      <c r="A29" s="1" t="s">
        <v>80</v>
      </c>
      <c r="B29" s="3">
        <v>47057</v>
      </c>
      <c r="C29" s="1">
        <f t="shared" si="8"/>
        <v>0</v>
      </c>
      <c r="D29" s="4">
        <v>0.03</v>
      </c>
      <c r="E29" s="5">
        <f t="shared" si="6"/>
        <v>1.5</v>
      </c>
      <c r="F29" s="1">
        <v>100</v>
      </c>
      <c r="G29" s="1">
        <f t="shared" si="7"/>
        <v>101.5</v>
      </c>
    </row>
    <row r="30" spans="1:7" x14ac:dyDescent="0.2">
      <c r="A30" s="1"/>
      <c r="B30" s="3"/>
      <c r="C30" s="1"/>
      <c r="D30" s="4"/>
      <c r="E30" s="5"/>
      <c r="F30" s="1"/>
      <c r="G30" s="1"/>
    </row>
    <row r="31" spans="1:7" x14ac:dyDescent="0.2">
      <c r="A31" s="2" t="s">
        <v>0</v>
      </c>
      <c r="B31" s="2" t="s">
        <v>10</v>
      </c>
      <c r="C31" s="2" t="s">
        <v>11</v>
      </c>
      <c r="D31" s="2" t="s">
        <v>14</v>
      </c>
      <c r="E31" s="2" t="s">
        <v>12</v>
      </c>
      <c r="F31" s="2" t="s">
        <v>13</v>
      </c>
      <c r="G31" s="2" t="s">
        <v>15</v>
      </c>
    </row>
    <row r="32" spans="1:7" x14ac:dyDescent="0.2">
      <c r="A32" s="1" t="s">
        <v>81</v>
      </c>
      <c r="B32" s="3">
        <v>45832</v>
      </c>
      <c r="C32" s="1">
        <v>100</v>
      </c>
      <c r="D32" s="1">
        <v>0</v>
      </c>
      <c r="E32" s="1">
        <v>0</v>
      </c>
      <c r="F32" s="1">
        <v>0</v>
      </c>
      <c r="G32" s="1">
        <f>F32+E32</f>
        <v>0</v>
      </c>
    </row>
    <row r="33" spans="1:7" x14ac:dyDescent="0.2">
      <c r="A33" s="1" t="s">
        <v>81</v>
      </c>
      <c r="B33" s="3">
        <v>45961</v>
      </c>
      <c r="C33" s="1">
        <v>100</v>
      </c>
      <c r="D33" s="4">
        <v>0.03</v>
      </c>
      <c r="E33" s="5">
        <f t="shared" ref="E33:E39" si="9">((D33*C32)/360)*DAYS360(B32,B33)</f>
        <v>1.0583333333333333</v>
      </c>
      <c r="F33" s="1">
        <v>0</v>
      </c>
      <c r="G33" s="1">
        <f t="shared" ref="G33:G39" si="10">F33+E33</f>
        <v>1.0583333333333333</v>
      </c>
    </row>
    <row r="34" spans="1:7" x14ac:dyDescent="0.2">
      <c r="A34" s="1" t="s">
        <v>81</v>
      </c>
      <c r="B34" s="3">
        <v>46142</v>
      </c>
      <c r="C34" s="1">
        <v>100</v>
      </c>
      <c r="D34" s="4">
        <v>0.03</v>
      </c>
      <c r="E34" s="5">
        <f t="shared" si="9"/>
        <v>1.5</v>
      </c>
      <c r="F34" s="1">
        <v>0</v>
      </c>
      <c r="G34" s="1">
        <f t="shared" si="10"/>
        <v>1.5</v>
      </c>
    </row>
    <row r="35" spans="1:7" x14ac:dyDescent="0.2">
      <c r="A35" s="1" t="s">
        <v>81</v>
      </c>
      <c r="B35" s="3">
        <v>46326</v>
      </c>
      <c r="C35" s="1">
        <v>100</v>
      </c>
      <c r="D35" s="4">
        <v>0.03</v>
      </c>
      <c r="E35" s="5">
        <f t="shared" si="9"/>
        <v>1.5</v>
      </c>
      <c r="F35" s="1">
        <v>0</v>
      </c>
      <c r="G35" s="1">
        <f t="shared" si="10"/>
        <v>1.5</v>
      </c>
    </row>
    <row r="36" spans="1:7" x14ac:dyDescent="0.2">
      <c r="A36" s="1" t="s">
        <v>81</v>
      </c>
      <c r="B36" s="3">
        <v>46507</v>
      </c>
      <c r="C36" s="1">
        <f>C35-F36</f>
        <v>100</v>
      </c>
      <c r="D36" s="4">
        <v>0.03</v>
      </c>
      <c r="E36" s="5">
        <f t="shared" si="9"/>
        <v>1.5</v>
      </c>
      <c r="F36" s="1">
        <v>0</v>
      </c>
      <c r="G36" s="1">
        <f t="shared" si="10"/>
        <v>1.5</v>
      </c>
    </row>
    <row r="37" spans="1:7" x14ac:dyDescent="0.2">
      <c r="A37" s="1" t="s">
        <v>81</v>
      </c>
      <c r="B37" s="3">
        <v>46691</v>
      </c>
      <c r="C37" s="1">
        <f>C36-F37</f>
        <v>100</v>
      </c>
      <c r="D37" s="4">
        <v>0.03</v>
      </c>
      <c r="E37" s="5">
        <f t="shared" si="9"/>
        <v>1.5</v>
      </c>
      <c r="F37" s="1">
        <v>0</v>
      </c>
      <c r="G37" s="1">
        <f t="shared" si="10"/>
        <v>1.5</v>
      </c>
    </row>
    <row r="38" spans="1:7" x14ac:dyDescent="0.2">
      <c r="A38" s="1" t="s">
        <v>81</v>
      </c>
      <c r="B38" s="3">
        <v>46873</v>
      </c>
      <c r="C38" s="1">
        <f t="shared" ref="C38:C39" si="11">C37-F38</f>
        <v>100</v>
      </c>
      <c r="D38" s="4">
        <v>0.03</v>
      </c>
      <c r="E38" s="5">
        <f t="shared" si="9"/>
        <v>1.5</v>
      </c>
      <c r="F38" s="1">
        <v>0</v>
      </c>
      <c r="G38" s="1">
        <f t="shared" si="10"/>
        <v>1.5</v>
      </c>
    </row>
    <row r="39" spans="1:7" x14ac:dyDescent="0.2">
      <c r="A39" s="1" t="s">
        <v>81</v>
      </c>
      <c r="B39" s="3">
        <v>47057</v>
      </c>
      <c r="C39" s="1">
        <f t="shared" si="11"/>
        <v>0</v>
      </c>
      <c r="D39" s="4">
        <v>0.03</v>
      </c>
      <c r="E39" s="5">
        <f t="shared" si="9"/>
        <v>1.5</v>
      </c>
      <c r="F39" s="1">
        <v>100</v>
      </c>
      <c r="G39" s="1">
        <f t="shared" si="10"/>
        <v>101.5</v>
      </c>
    </row>
    <row r="40" spans="1:7" x14ac:dyDescent="0.2">
      <c r="A40" s="1" t="s">
        <v>105</v>
      </c>
      <c r="B40" s="3">
        <v>45296</v>
      </c>
      <c r="C40" s="1">
        <v>100</v>
      </c>
      <c r="D40" s="1">
        <v>0</v>
      </c>
      <c r="E40" s="1">
        <v>0</v>
      </c>
      <c r="F40" s="1">
        <v>0</v>
      </c>
      <c r="G40" s="1">
        <v>0</v>
      </c>
    </row>
    <row r="41" spans="1:7" x14ac:dyDescent="0.2">
      <c r="A41" s="1" t="s">
        <v>105</v>
      </c>
      <c r="B41" s="3">
        <v>45596</v>
      </c>
      <c r="C41" s="1">
        <v>100</v>
      </c>
      <c r="D41" s="4">
        <v>0.05</v>
      </c>
      <c r="E41" s="5">
        <v>4.1111111111111107</v>
      </c>
      <c r="F41" s="1">
        <v>0</v>
      </c>
      <c r="G41" s="1">
        <v>4.1111111111111107</v>
      </c>
    </row>
    <row r="42" spans="1:7" x14ac:dyDescent="0.2">
      <c r="A42" s="1" t="s">
        <v>105</v>
      </c>
      <c r="B42" s="3">
        <v>45777</v>
      </c>
      <c r="C42" s="1">
        <v>100</v>
      </c>
      <c r="D42" s="4">
        <v>0.05</v>
      </c>
      <c r="E42" s="5">
        <v>2.5</v>
      </c>
      <c r="F42" s="1">
        <v>0</v>
      </c>
      <c r="G42" s="1">
        <v>2.5</v>
      </c>
    </row>
    <row r="43" spans="1:7" x14ac:dyDescent="0.2">
      <c r="A43" s="1" t="s">
        <v>105</v>
      </c>
      <c r="B43" s="3">
        <v>45961</v>
      </c>
      <c r="C43" s="1">
        <v>100</v>
      </c>
      <c r="D43" s="4">
        <v>0.05</v>
      </c>
      <c r="E43" s="5">
        <v>2.5</v>
      </c>
      <c r="F43" s="1">
        <v>0</v>
      </c>
      <c r="G43" s="1">
        <v>2.5</v>
      </c>
    </row>
    <row r="44" spans="1:7" x14ac:dyDescent="0.2">
      <c r="A44" s="1" t="s">
        <v>105</v>
      </c>
      <c r="B44" s="3">
        <v>46142</v>
      </c>
      <c r="C44" s="1">
        <v>100</v>
      </c>
      <c r="D44" s="4">
        <v>0.05</v>
      </c>
      <c r="E44" s="5">
        <v>2.5</v>
      </c>
      <c r="F44" s="1">
        <v>0</v>
      </c>
      <c r="G44" s="1">
        <v>2.5</v>
      </c>
    </row>
    <row r="45" spans="1:7" x14ac:dyDescent="0.2">
      <c r="A45" s="1" t="s">
        <v>105</v>
      </c>
      <c r="B45" s="3">
        <v>46326</v>
      </c>
      <c r="C45" s="1">
        <v>100</v>
      </c>
      <c r="D45" s="4">
        <v>0.05</v>
      </c>
      <c r="E45" s="5">
        <v>2.5</v>
      </c>
      <c r="F45" s="1">
        <v>0</v>
      </c>
      <c r="G45" s="1">
        <v>2.5</v>
      </c>
    </row>
    <row r="46" spans="1:7" x14ac:dyDescent="0.2">
      <c r="A46" s="1" t="s">
        <v>105</v>
      </c>
      <c r="B46" s="3">
        <v>46507</v>
      </c>
      <c r="C46" s="1">
        <v>50</v>
      </c>
      <c r="D46" s="4">
        <v>0.05</v>
      </c>
      <c r="E46" s="5">
        <v>2.5</v>
      </c>
      <c r="F46" s="1">
        <v>50</v>
      </c>
      <c r="G46" s="1">
        <v>52.5</v>
      </c>
    </row>
    <row r="47" spans="1:7" x14ac:dyDescent="0.2">
      <c r="A47" s="1" t="s">
        <v>105</v>
      </c>
      <c r="B47" s="3">
        <v>46691</v>
      </c>
      <c r="C47" s="1">
        <v>0</v>
      </c>
      <c r="D47" s="4">
        <v>0.05</v>
      </c>
      <c r="E47" s="5">
        <v>1.25</v>
      </c>
      <c r="F47" s="1">
        <v>50</v>
      </c>
      <c r="G47" s="1">
        <v>51.25</v>
      </c>
    </row>
    <row r="48" spans="1:7" x14ac:dyDescent="0.2">
      <c r="A48" s="1" t="s">
        <v>106</v>
      </c>
      <c r="B48" s="3">
        <v>45296</v>
      </c>
      <c r="C48" s="1">
        <v>100</v>
      </c>
      <c r="D48" s="1">
        <v>0</v>
      </c>
      <c r="E48" s="1">
        <v>0</v>
      </c>
      <c r="F48" s="1">
        <v>0</v>
      </c>
      <c r="G48" s="1">
        <v>0</v>
      </c>
    </row>
    <row r="49" spans="1:7" x14ac:dyDescent="0.2">
      <c r="A49" s="1" t="s">
        <v>106</v>
      </c>
      <c r="B49" s="3">
        <v>45596</v>
      </c>
      <c r="C49" s="1">
        <v>100</v>
      </c>
      <c r="D49" s="4">
        <v>0.05</v>
      </c>
      <c r="E49" s="5">
        <v>4.1111111111111107</v>
      </c>
      <c r="F49" s="1">
        <v>0</v>
      </c>
      <c r="G49" s="1">
        <v>4.1111111111111107</v>
      </c>
    </row>
    <row r="50" spans="1:7" x14ac:dyDescent="0.2">
      <c r="A50" s="1" t="s">
        <v>106</v>
      </c>
      <c r="B50" s="3">
        <v>45777</v>
      </c>
      <c r="C50" s="1">
        <v>100</v>
      </c>
      <c r="D50" s="4">
        <v>0.05</v>
      </c>
      <c r="E50" s="5">
        <v>2.5</v>
      </c>
      <c r="F50" s="1">
        <v>0</v>
      </c>
      <c r="G50" s="1">
        <v>2.5</v>
      </c>
    </row>
    <row r="51" spans="1:7" x14ac:dyDescent="0.2">
      <c r="A51" s="1" t="s">
        <v>106</v>
      </c>
      <c r="B51" s="3">
        <v>45961</v>
      </c>
      <c r="C51" s="1">
        <v>100</v>
      </c>
      <c r="D51" s="4">
        <v>0.05</v>
      </c>
      <c r="E51" s="5">
        <v>2.5</v>
      </c>
      <c r="F51" s="1">
        <v>0</v>
      </c>
      <c r="G51" s="1">
        <v>2.5</v>
      </c>
    </row>
    <row r="52" spans="1:7" x14ac:dyDescent="0.2">
      <c r="A52" s="1" t="s">
        <v>106</v>
      </c>
      <c r="B52" s="3">
        <v>46142</v>
      </c>
      <c r="C52" s="1">
        <v>100</v>
      </c>
      <c r="D52" s="4">
        <v>0.05</v>
      </c>
      <c r="E52" s="5">
        <v>2.5</v>
      </c>
      <c r="F52" s="1">
        <v>0</v>
      </c>
      <c r="G52" s="1">
        <v>2.5</v>
      </c>
    </row>
    <row r="53" spans="1:7" x14ac:dyDescent="0.2">
      <c r="A53" s="1" t="s">
        <v>106</v>
      </c>
      <c r="B53" s="3">
        <v>46326</v>
      </c>
      <c r="C53" s="1">
        <v>100</v>
      </c>
      <c r="D53" s="4">
        <v>0.05</v>
      </c>
      <c r="E53" s="5">
        <v>2.5</v>
      </c>
      <c r="F53" s="1">
        <v>0</v>
      </c>
      <c r="G53" s="1">
        <v>2.5</v>
      </c>
    </row>
    <row r="54" spans="1:7" x14ac:dyDescent="0.2">
      <c r="A54" s="1" t="s">
        <v>106</v>
      </c>
      <c r="B54" s="3">
        <v>46507</v>
      </c>
      <c r="C54" s="1">
        <v>50</v>
      </c>
      <c r="D54" s="4">
        <v>0.05</v>
      </c>
      <c r="E54" s="5">
        <v>2.5</v>
      </c>
      <c r="F54" s="1">
        <v>50</v>
      </c>
      <c r="G54" s="1">
        <v>52.5</v>
      </c>
    </row>
    <row r="55" spans="1:7" x14ac:dyDescent="0.2">
      <c r="A55" s="1" t="s">
        <v>106</v>
      </c>
      <c r="B55" s="3">
        <v>46691</v>
      </c>
      <c r="C55" s="1">
        <v>0</v>
      </c>
      <c r="D55" s="4">
        <v>0.05</v>
      </c>
      <c r="E55" s="5">
        <v>1.25</v>
      </c>
      <c r="F55" s="1">
        <v>50</v>
      </c>
      <c r="G55" s="1">
        <v>51.25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529B-9FFE-49C8-A90D-80E2711BFB43}">
  <dimension ref="A1:G34"/>
  <sheetViews>
    <sheetView workbookViewId="0">
      <selection activeCell="F22" sqref="F22"/>
    </sheetView>
  </sheetViews>
  <sheetFormatPr baseColWidth="10" defaultRowHeight="15" x14ac:dyDescent="0.2"/>
  <cols>
    <col min="1" max="6" width="16.83203125" customWidth="1"/>
  </cols>
  <sheetData>
    <row r="1" spans="1:7" x14ac:dyDescent="0.2">
      <c r="A1" s="2" t="s">
        <v>0</v>
      </c>
      <c r="B1" s="2" t="s">
        <v>1</v>
      </c>
      <c r="C1" s="2" t="s">
        <v>18</v>
      </c>
      <c r="D1" s="2" t="s">
        <v>19</v>
      </c>
      <c r="E1" s="2" t="s">
        <v>20</v>
      </c>
      <c r="F1" s="2" t="s">
        <v>21</v>
      </c>
    </row>
    <row r="2" spans="1:7" x14ac:dyDescent="0.2">
      <c r="A2" s="1" t="s">
        <v>75</v>
      </c>
      <c r="B2" s="1" t="s">
        <v>24</v>
      </c>
      <c r="C2" s="3">
        <v>46157</v>
      </c>
      <c r="D2" s="3">
        <v>46934</v>
      </c>
      <c r="E2" s="1">
        <v>10</v>
      </c>
      <c r="F2" s="1">
        <v>0</v>
      </c>
    </row>
    <row r="3" spans="1:7" x14ac:dyDescent="0.2">
      <c r="A3" s="2" t="s">
        <v>0</v>
      </c>
      <c r="B3" s="2" t="s">
        <v>1</v>
      </c>
      <c r="C3" s="2" t="s">
        <v>18</v>
      </c>
      <c r="D3" s="2" t="s">
        <v>19</v>
      </c>
      <c r="E3" s="2" t="s">
        <v>28</v>
      </c>
      <c r="F3" s="2" t="s">
        <v>21</v>
      </c>
    </row>
    <row r="4" spans="1:7" x14ac:dyDescent="0.2">
      <c r="A4" s="1" t="s">
        <v>75</v>
      </c>
      <c r="B4" s="1" t="s">
        <v>27</v>
      </c>
      <c r="C4" s="3">
        <v>46157</v>
      </c>
      <c r="D4" s="3">
        <v>46934</v>
      </c>
      <c r="E4" s="1">
        <v>10</v>
      </c>
      <c r="F4" s="4">
        <v>0.03</v>
      </c>
    </row>
    <row r="6" spans="1:7" x14ac:dyDescent="0.2">
      <c r="A6" s="2" t="s">
        <v>0</v>
      </c>
      <c r="B6" s="2" t="s">
        <v>1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7" x14ac:dyDescent="0.2">
      <c r="A7" s="1" t="s">
        <v>74</v>
      </c>
      <c r="B7" s="1" t="s">
        <v>24</v>
      </c>
      <c r="C7" s="3">
        <v>46142</v>
      </c>
      <c r="D7" s="3">
        <v>47298</v>
      </c>
      <c r="E7" s="1">
        <v>10</v>
      </c>
      <c r="F7" s="1">
        <v>0</v>
      </c>
    </row>
    <row r="8" spans="1:7" x14ac:dyDescent="0.2">
      <c r="A8" s="2" t="s">
        <v>0</v>
      </c>
      <c r="B8" s="2" t="s">
        <v>1</v>
      </c>
      <c r="C8" s="2" t="s">
        <v>18</v>
      </c>
      <c r="D8" s="2" t="s">
        <v>19</v>
      </c>
      <c r="E8" s="2" t="s">
        <v>28</v>
      </c>
      <c r="F8" s="2" t="s">
        <v>21</v>
      </c>
    </row>
    <row r="9" spans="1:7" x14ac:dyDescent="0.2">
      <c r="A9" s="1" t="s">
        <v>74</v>
      </c>
      <c r="B9" s="1" t="s">
        <v>27</v>
      </c>
      <c r="C9" s="3">
        <v>46142</v>
      </c>
      <c r="D9" s="3">
        <v>47298</v>
      </c>
      <c r="E9" s="1">
        <v>10</v>
      </c>
      <c r="F9" s="4">
        <v>0.03</v>
      </c>
    </row>
    <row r="16" spans="1:7" x14ac:dyDescent="0.2">
      <c r="A16" s="2" t="s">
        <v>0</v>
      </c>
      <c r="B16" s="2" t="s">
        <v>1</v>
      </c>
      <c r="C16" s="2" t="s">
        <v>18</v>
      </c>
      <c r="D16" s="2" t="s">
        <v>19</v>
      </c>
      <c r="E16" s="2" t="s">
        <v>28</v>
      </c>
      <c r="F16" s="2" t="s">
        <v>21</v>
      </c>
    </row>
    <row r="17" spans="1:7" x14ac:dyDescent="0.2">
      <c r="A17" s="1" t="s">
        <v>77</v>
      </c>
      <c r="B17" s="1" t="s">
        <v>27</v>
      </c>
      <c r="C17" s="3">
        <v>45686</v>
      </c>
      <c r="D17" s="3">
        <v>46280</v>
      </c>
      <c r="E17" s="1">
        <v>10</v>
      </c>
      <c r="F17" s="4">
        <v>0</v>
      </c>
    </row>
    <row r="18" spans="1:7" x14ac:dyDescent="0.2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</row>
    <row r="19" spans="1:7" x14ac:dyDescent="0.2">
      <c r="A19" s="1" t="s">
        <v>77</v>
      </c>
      <c r="B19" s="1" t="s">
        <v>8</v>
      </c>
      <c r="C19" s="3">
        <v>45686</v>
      </c>
      <c r="D19" s="3">
        <v>46280</v>
      </c>
      <c r="E19" s="1">
        <v>2.17</v>
      </c>
      <c r="F19" s="1">
        <f t="shared" ref="F19" si="2">((YEAR(D19)-YEAR(C19))*360+(MONTH(D19)-MONTH(C19))*30+(DAY(D19)-DAY(C19)))/30</f>
        <v>19.533333333333335</v>
      </c>
      <c r="G19" s="1">
        <f t="shared" ref="G19" si="3">100*(1+E19/100)^F19</f>
        <v>152.09570515319578</v>
      </c>
    </row>
    <row r="21" spans="1:7" x14ac:dyDescent="0.2">
      <c r="A21" s="2" t="s">
        <v>0</v>
      </c>
      <c r="B21" s="2" t="s">
        <v>1</v>
      </c>
      <c r="C21" s="2" t="s">
        <v>18</v>
      </c>
      <c r="D21" s="2" t="s">
        <v>19</v>
      </c>
      <c r="E21" s="2" t="s">
        <v>20</v>
      </c>
      <c r="F21" s="2" t="s">
        <v>21</v>
      </c>
    </row>
    <row r="22" spans="1:7" x14ac:dyDescent="0.2">
      <c r="A22" s="1" t="s">
        <v>92</v>
      </c>
      <c r="B22" s="1" t="s">
        <v>24</v>
      </c>
      <c r="C22" s="3">
        <v>46189</v>
      </c>
      <c r="D22" s="3">
        <v>47102</v>
      </c>
      <c r="E22" s="1">
        <v>10</v>
      </c>
      <c r="F22" s="1">
        <v>0</v>
      </c>
    </row>
    <row r="23" spans="1:7" x14ac:dyDescent="0.2">
      <c r="A23" s="2" t="s">
        <v>0</v>
      </c>
      <c r="B23" s="2" t="s">
        <v>1</v>
      </c>
      <c r="C23" s="2" t="s">
        <v>18</v>
      </c>
      <c r="D23" s="2" t="s">
        <v>19</v>
      </c>
      <c r="E23" s="2" t="s">
        <v>28</v>
      </c>
      <c r="F23" s="2" t="s">
        <v>21</v>
      </c>
    </row>
    <row r="24" spans="1:7" x14ac:dyDescent="0.2">
      <c r="A24" s="1" t="s">
        <v>92</v>
      </c>
      <c r="B24" s="1" t="s">
        <v>27</v>
      </c>
      <c r="C24" s="3">
        <v>46189</v>
      </c>
      <c r="D24" s="3">
        <v>47102</v>
      </c>
      <c r="E24" s="1">
        <v>10</v>
      </c>
      <c r="F24" s="4">
        <v>0.03</v>
      </c>
    </row>
    <row r="26" spans="1:7" x14ac:dyDescent="0.2">
      <c r="A26" s="2" t="s">
        <v>0</v>
      </c>
      <c r="B26" s="2" t="s">
        <v>1</v>
      </c>
      <c r="C26" s="2" t="s">
        <v>18</v>
      </c>
      <c r="D26" s="2" t="s">
        <v>19</v>
      </c>
      <c r="E26" s="2" t="s">
        <v>20</v>
      </c>
      <c r="F26" s="2" t="s">
        <v>21</v>
      </c>
    </row>
    <row r="27" spans="1:7" x14ac:dyDescent="0.2">
      <c r="A27" s="1" t="s">
        <v>93</v>
      </c>
      <c r="B27" s="1" t="s">
        <v>24</v>
      </c>
      <c r="C27" s="3">
        <v>46189</v>
      </c>
      <c r="D27" s="3">
        <v>47466</v>
      </c>
      <c r="E27" s="1">
        <v>10</v>
      </c>
      <c r="F27" s="1">
        <v>0</v>
      </c>
    </row>
    <row r="28" spans="1:7" x14ac:dyDescent="0.2">
      <c r="A28" s="2" t="s">
        <v>0</v>
      </c>
      <c r="B28" s="2" t="s">
        <v>1</v>
      </c>
      <c r="C28" s="2" t="s">
        <v>18</v>
      </c>
      <c r="D28" s="2" t="s">
        <v>19</v>
      </c>
      <c r="E28" s="2" t="s">
        <v>28</v>
      </c>
      <c r="F28" s="2" t="s">
        <v>21</v>
      </c>
    </row>
    <row r="29" spans="1:7" x14ac:dyDescent="0.2">
      <c r="A29" s="1" t="s">
        <v>93</v>
      </c>
      <c r="B29" s="1" t="s">
        <v>27</v>
      </c>
      <c r="C29" s="3">
        <v>46189</v>
      </c>
      <c r="D29" s="3">
        <v>47466</v>
      </c>
      <c r="E29" s="1">
        <v>10</v>
      </c>
      <c r="F29" s="4">
        <v>0.03</v>
      </c>
    </row>
    <row r="31" spans="1:7" x14ac:dyDescent="0.2">
      <c r="A31" s="2" t="s">
        <v>0</v>
      </c>
      <c r="B31" s="2" t="s">
        <v>1</v>
      </c>
      <c r="C31" s="2" t="s">
        <v>18</v>
      </c>
      <c r="D31" s="2" t="s">
        <v>19</v>
      </c>
      <c r="E31" s="2" t="s">
        <v>20</v>
      </c>
      <c r="F31" s="2" t="s">
        <v>21</v>
      </c>
    </row>
    <row r="32" spans="1:7" x14ac:dyDescent="0.2">
      <c r="A32" s="1" t="s">
        <v>94</v>
      </c>
      <c r="B32" s="1" t="s">
        <v>24</v>
      </c>
      <c r="C32" s="3">
        <v>46189</v>
      </c>
      <c r="D32" s="3">
        <v>47662</v>
      </c>
      <c r="E32" s="1">
        <v>10</v>
      </c>
      <c r="F32" s="1">
        <v>0</v>
      </c>
    </row>
    <row r="33" spans="1:6" x14ac:dyDescent="0.2">
      <c r="A33" s="2" t="s">
        <v>0</v>
      </c>
      <c r="B33" s="2" t="s">
        <v>1</v>
      </c>
      <c r="C33" s="2" t="s">
        <v>18</v>
      </c>
      <c r="D33" s="2" t="s">
        <v>19</v>
      </c>
      <c r="E33" s="2" t="s">
        <v>28</v>
      </c>
      <c r="F33" s="2" t="s">
        <v>21</v>
      </c>
    </row>
    <row r="34" spans="1:6" x14ac:dyDescent="0.2">
      <c r="A34" s="1" t="s">
        <v>94</v>
      </c>
      <c r="B34" s="1" t="s">
        <v>27</v>
      </c>
      <c r="C34" s="3">
        <v>46189</v>
      </c>
      <c r="D34" s="3">
        <v>47662</v>
      </c>
      <c r="E34" s="1">
        <v>10</v>
      </c>
      <c r="F34" s="4">
        <v>0.03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12C5-5827-C647-B9D8-078729724407}">
  <dimension ref="A1:G72"/>
  <sheetViews>
    <sheetView workbookViewId="0">
      <selection activeCell="J42" sqref="J42"/>
    </sheetView>
  </sheetViews>
  <sheetFormatPr baseColWidth="10" defaultRowHeight="15" x14ac:dyDescent="0.2"/>
  <sheetData>
    <row r="1" spans="1:7" x14ac:dyDescent="0.2">
      <c r="A1" s="2" t="s">
        <v>0</v>
      </c>
      <c r="B1" s="2" t="s">
        <v>10</v>
      </c>
      <c r="C1" s="2" t="s">
        <v>11</v>
      </c>
      <c r="D1" s="2" t="s">
        <v>14</v>
      </c>
      <c r="E1" s="2" t="s">
        <v>12</v>
      </c>
      <c r="F1" s="2" t="s">
        <v>13</v>
      </c>
      <c r="G1" s="2" t="s">
        <v>15</v>
      </c>
    </row>
    <row r="9" spans="1:7" x14ac:dyDescent="0.2">
      <c r="A9" s="1"/>
      <c r="B9" s="3"/>
      <c r="C9" s="1"/>
      <c r="D9" s="4"/>
      <c r="E9" s="5"/>
      <c r="F9" s="1"/>
      <c r="G9" s="1"/>
    </row>
    <row r="10" spans="1:7" x14ac:dyDescent="0.2">
      <c r="A10" s="2" t="s">
        <v>0</v>
      </c>
      <c r="B10" s="2" t="s">
        <v>10</v>
      </c>
      <c r="C10" s="2" t="s">
        <v>11</v>
      </c>
      <c r="D10" s="2" t="s">
        <v>14</v>
      </c>
      <c r="E10" s="2" t="s">
        <v>12</v>
      </c>
      <c r="F10" s="2" t="s">
        <v>13</v>
      </c>
      <c r="G10" s="2" t="s">
        <v>15</v>
      </c>
    </row>
    <row r="11" spans="1:7" x14ac:dyDescent="0.2">
      <c r="A11" s="1" t="s">
        <v>86</v>
      </c>
      <c r="B11" s="3">
        <v>46062</v>
      </c>
      <c r="C11" s="1">
        <v>100</v>
      </c>
      <c r="D11" s="1">
        <v>0</v>
      </c>
      <c r="E11" s="1">
        <v>0</v>
      </c>
      <c r="F11" s="1">
        <v>0</v>
      </c>
      <c r="G11" s="1">
        <f>F11+E11</f>
        <v>0</v>
      </c>
    </row>
    <row r="12" spans="1:7" x14ac:dyDescent="0.2">
      <c r="A12" s="1" t="s">
        <v>86</v>
      </c>
      <c r="B12" s="3">
        <v>46142</v>
      </c>
      <c r="C12" s="1">
        <f t="shared" ref="C12:C17" si="3">C11-F12</f>
        <v>100</v>
      </c>
      <c r="D12" s="4">
        <v>7.4999999999999997E-2</v>
      </c>
      <c r="E12" s="5">
        <f>((D12*C11)/365)*_xlfn.DAYS(B12,B11)</f>
        <v>1.6438356164383561</v>
      </c>
      <c r="F12" s="1">
        <v>0</v>
      </c>
      <c r="G12" s="1">
        <f t="shared" ref="G12:G17" si="4">F12+E12</f>
        <v>1.6438356164383561</v>
      </c>
    </row>
    <row r="13" spans="1:7" x14ac:dyDescent="0.2">
      <c r="A13" s="1" t="s">
        <v>86</v>
      </c>
      <c r="B13" s="3">
        <v>46233</v>
      </c>
      <c r="C13" s="1">
        <f t="shared" si="3"/>
        <v>100</v>
      </c>
      <c r="D13" s="4">
        <v>7.4999999999999997E-2</v>
      </c>
      <c r="E13" s="5">
        <f t="shared" ref="E13:E17" si="5">((D13*C12)/365)*_xlfn.DAYS(B13,B12)</f>
        <v>1.8698630136986301</v>
      </c>
      <c r="F13" s="1">
        <v>0</v>
      </c>
      <c r="G13" s="1">
        <f t="shared" si="4"/>
        <v>1.8698630136986301</v>
      </c>
    </row>
    <row r="14" spans="1:7" x14ac:dyDescent="0.2">
      <c r="A14" s="1" t="s">
        <v>86</v>
      </c>
      <c r="B14" s="3">
        <v>46325</v>
      </c>
      <c r="C14" s="1">
        <f t="shared" si="3"/>
        <v>100</v>
      </c>
      <c r="D14" s="4">
        <v>7.4999999999999997E-2</v>
      </c>
      <c r="E14" s="5">
        <f t="shared" si="5"/>
        <v>1.8904109589041096</v>
      </c>
      <c r="F14" s="1">
        <v>0</v>
      </c>
      <c r="G14" s="1">
        <f t="shared" si="4"/>
        <v>1.8904109589041096</v>
      </c>
    </row>
    <row r="15" spans="1:7" x14ac:dyDescent="0.2">
      <c r="A15" s="1" t="s">
        <v>86</v>
      </c>
      <c r="B15" s="3">
        <v>46417</v>
      </c>
      <c r="C15" s="1">
        <f t="shared" si="3"/>
        <v>100</v>
      </c>
      <c r="D15" s="4">
        <v>7.4999999999999997E-2</v>
      </c>
      <c r="E15" s="5">
        <f t="shared" si="5"/>
        <v>1.8904109589041096</v>
      </c>
      <c r="F15" s="1">
        <v>0</v>
      </c>
      <c r="G15" s="1">
        <f t="shared" si="4"/>
        <v>1.8904109589041096</v>
      </c>
    </row>
    <row r="16" spans="1:7" x14ac:dyDescent="0.2">
      <c r="A16" s="1" t="s">
        <v>86</v>
      </c>
      <c r="B16" s="3">
        <v>46507</v>
      </c>
      <c r="C16" s="1">
        <f t="shared" si="3"/>
        <v>100</v>
      </c>
      <c r="D16" s="4">
        <v>7.4999999999999997E-2</v>
      </c>
      <c r="E16" s="5">
        <f t="shared" si="5"/>
        <v>1.8493150684931505</v>
      </c>
      <c r="F16" s="1">
        <v>0</v>
      </c>
      <c r="G16" s="1">
        <f t="shared" si="4"/>
        <v>1.8493150684931505</v>
      </c>
    </row>
    <row r="17" spans="1:7" x14ac:dyDescent="0.2">
      <c r="A17" s="1" t="s">
        <v>86</v>
      </c>
      <c r="B17" s="3">
        <v>46598</v>
      </c>
      <c r="C17" s="1">
        <f t="shared" si="3"/>
        <v>50</v>
      </c>
      <c r="D17" s="4">
        <v>7.4999999999999997E-2</v>
      </c>
      <c r="E17" s="5">
        <f t="shared" si="5"/>
        <v>1.8698630136986301</v>
      </c>
      <c r="F17" s="1">
        <v>50</v>
      </c>
      <c r="G17" s="1">
        <f t="shared" si="4"/>
        <v>51.869863013698627</v>
      </c>
    </row>
    <row r="18" spans="1:7" x14ac:dyDescent="0.2">
      <c r="A18" s="1" t="s">
        <v>86</v>
      </c>
      <c r="B18" s="3">
        <v>46690</v>
      </c>
      <c r="C18" s="1">
        <f t="shared" ref="C18" si="6">C17-F18</f>
        <v>0</v>
      </c>
      <c r="D18" s="4">
        <v>7.4999999999999997E-2</v>
      </c>
      <c r="E18" s="5">
        <f t="shared" ref="E18" si="7">((D18*C17)/365)*_xlfn.DAYS(B18,B17)</f>
        <v>0.9452054794520548</v>
      </c>
      <c r="F18" s="1">
        <v>50</v>
      </c>
      <c r="G18" s="1">
        <f t="shared" ref="G18" si="8">F18+E18</f>
        <v>50.945205479452056</v>
      </c>
    </row>
    <row r="19" spans="1:7" x14ac:dyDescent="0.2">
      <c r="A19" s="1"/>
      <c r="B19" s="3"/>
      <c r="C19" s="1"/>
      <c r="D19" s="4"/>
      <c r="E19" s="5"/>
      <c r="F19" s="1"/>
      <c r="G19" s="1"/>
    </row>
    <row r="20" spans="1:7" x14ac:dyDescent="0.2">
      <c r="A20" s="2" t="s">
        <v>0</v>
      </c>
      <c r="B20" s="2" t="s">
        <v>10</v>
      </c>
      <c r="C20" s="2" t="s">
        <v>11</v>
      </c>
      <c r="D20" s="2" t="s">
        <v>14</v>
      </c>
      <c r="E20" s="2" t="s">
        <v>12</v>
      </c>
      <c r="F20" s="2" t="s">
        <v>13</v>
      </c>
      <c r="G20" s="2" t="s">
        <v>15</v>
      </c>
    </row>
    <row r="21" spans="1:7" x14ac:dyDescent="0.2">
      <c r="A21" s="1" t="s">
        <v>87</v>
      </c>
      <c r="B21" s="3">
        <v>45705</v>
      </c>
      <c r="C21" s="1">
        <v>100</v>
      </c>
      <c r="D21" s="1">
        <v>0</v>
      </c>
      <c r="E21" s="1">
        <v>0</v>
      </c>
      <c r="F21" s="1">
        <v>0</v>
      </c>
      <c r="G21" s="1">
        <f>F21+E21</f>
        <v>0</v>
      </c>
    </row>
    <row r="22" spans="1:7" x14ac:dyDescent="0.2">
      <c r="A22" s="1" t="s">
        <v>87</v>
      </c>
      <c r="B22" s="3">
        <v>45886</v>
      </c>
      <c r="C22" s="1">
        <f t="shared" ref="C22:C33" si="9">C21-F22</f>
        <v>100</v>
      </c>
      <c r="D22" s="4">
        <v>0.08</v>
      </c>
      <c r="E22" s="5">
        <f>((D22*C21)/365)*_xlfn.DAYS(B22,B21)</f>
        <v>3.967123287671233</v>
      </c>
      <c r="F22" s="1">
        <v>0</v>
      </c>
      <c r="G22" s="1">
        <f t="shared" ref="G22:G24" si="10">F22+E22</f>
        <v>3.967123287671233</v>
      </c>
    </row>
    <row r="23" spans="1:7" x14ac:dyDescent="0.2">
      <c r="A23" s="1" t="s">
        <v>87</v>
      </c>
      <c r="B23" s="3">
        <v>46070</v>
      </c>
      <c r="C23" s="1">
        <f t="shared" si="9"/>
        <v>100</v>
      </c>
      <c r="D23" s="4">
        <v>0.08</v>
      </c>
      <c r="E23" s="5">
        <f t="shared" ref="E23:E24" si="11">((D23*C22)/365)*_xlfn.DAYS(B23,B22)</f>
        <v>4.0328767123287674</v>
      </c>
      <c r="F23" s="1">
        <v>0</v>
      </c>
      <c r="G23" s="1">
        <f t="shared" si="10"/>
        <v>4.0328767123287674</v>
      </c>
    </row>
    <row r="24" spans="1:7" x14ac:dyDescent="0.2">
      <c r="A24" s="1" t="s">
        <v>87</v>
      </c>
      <c r="B24" s="3">
        <v>46251</v>
      </c>
      <c r="C24" s="1">
        <f t="shared" si="9"/>
        <v>100</v>
      </c>
      <c r="D24" s="4">
        <v>0.08</v>
      </c>
      <c r="E24" s="5">
        <f t="shared" si="11"/>
        <v>3.967123287671233</v>
      </c>
      <c r="F24" s="1">
        <v>0</v>
      </c>
      <c r="G24" s="1">
        <f t="shared" si="10"/>
        <v>3.967123287671233</v>
      </c>
    </row>
    <row r="25" spans="1:7" x14ac:dyDescent="0.2">
      <c r="A25" s="1" t="s">
        <v>87</v>
      </c>
      <c r="B25" s="3">
        <v>46435</v>
      </c>
      <c r="C25" s="1">
        <f t="shared" si="9"/>
        <v>100</v>
      </c>
      <c r="D25" s="4">
        <v>0.08</v>
      </c>
      <c r="E25" s="5">
        <f t="shared" ref="E25:E33" si="12">((D25*C24)/365)*_xlfn.DAYS(B25,B24)</f>
        <v>4.0328767123287674</v>
      </c>
      <c r="F25" s="1">
        <v>0</v>
      </c>
      <c r="G25" s="1">
        <f t="shared" ref="G25:G33" si="13">F25+E25</f>
        <v>4.0328767123287674</v>
      </c>
    </row>
    <row r="26" spans="1:7" x14ac:dyDescent="0.2">
      <c r="A26" s="1" t="s">
        <v>87</v>
      </c>
      <c r="B26" s="3">
        <v>46616</v>
      </c>
      <c r="C26" s="1">
        <f t="shared" si="9"/>
        <v>100</v>
      </c>
      <c r="D26" s="4">
        <v>0.08</v>
      </c>
      <c r="E26" s="5">
        <f t="shared" si="12"/>
        <v>3.967123287671233</v>
      </c>
      <c r="F26" s="1">
        <v>0</v>
      </c>
      <c r="G26" s="1">
        <f t="shared" si="13"/>
        <v>3.967123287671233</v>
      </c>
    </row>
    <row r="27" spans="1:7" x14ac:dyDescent="0.2">
      <c r="A27" s="1" t="s">
        <v>87</v>
      </c>
      <c r="B27" s="3">
        <v>46800</v>
      </c>
      <c r="C27" s="1">
        <f t="shared" si="9"/>
        <v>100</v>
      </c>
      <c r="D27" s="4">
        <v>0.08</v>
      </c>
      <c r="E27" s="5">
        <f t="shared" si="12"/>
        <v>4.0328767123287674</v>
      </c>
      <c r="F27" s="1">
        <v>0</v>
      </c>
      <c r="G27" s="1">
        <f t="shared" si="13"/>
        <v>4.0328767123287674</v>
      </c>
    </row>
    <row r="28" spans="1:7" x14ac:dyDescent="0.2">
      <c r="A28" s="1" t="s">
        <v>87</v>
      </c>
      <c r="B28" s="3">
        <v>46982</v>
      </c>
      <c r="C28" s="1">
        <f t="shared" si="9"/>
        <v>100</v>
      </c>
      <c r="D28" s="4">
        <v>0.08</v>
      </c>
      <c r="E28" s="5">
        <f t="shared" si="12"/>
        <v>3.989041095890411</v>
      </c>
      <c r="F28" s="1">
        <v>0</v>
      </c>
      <c r="G28" s="1">
        <f t="shared" si="13"/>
        <v>3.989041095890411</v>
      </c>
    </row>
    <row r="29" spans="1:7" x14ac:dyDescent="0.2">
      <c r="A29" s="1" t="s">
        <v>87</v>
      </c>
      <c r="B29" s="3">
        <v>47166</v>
      </c>
      <c r="C29" s="1">
        <f t="shared" si="9"/>
        <v>100</v>
      </c>
      <c r="D29" s="4">
        <v>0.08</v>
      </c>
      <c r="E29" s="5">
        <f t="shared" si="12"/>
        <v>4.0328767123287674</v>
      </c>
      <c r="F29" s="1">
        <v>0</v>
      </c>
      <c r="G29" s="1">
        <f t="shared" si="13"/>
        <v>4.0328767123287674</v>
      </c>
    </row>
    <row r="30" spans="1:7" x14ac:dyDescent="0.2">
      <c r="A30" s="1" t="s">
        <v>87</v>
      </c>
      <c r="B30" s="3">
        <v>47347</v>
      </c>
      <c r="C30" s="1">
        <f t="shared" si="9"/>
        <v>100</v>
      </c>
      <c r="D30" s="4">
        <v>0.08</v>
      </c>
      <c r="E30" s="5">
        <f t="shared" si="12"/>
        <v>3.967123287671233</v>
      </c>
      <c r="F30" s="1">
        <v>0</v>
      </c>
      <c r="G30" s="1">
        <f t="shared" si="13"/>
        <v>3.967123287671233</v>
      </c>
    </row>
    <row r="31" spans="1:7" x14ac:dyDescent="0.2">
      <c r="A31" s="1" t="s">
        <v>87</v>
      </c>
      <c r="B31" s="3">
        <v>47531</v>
      </c>
      <c r="C31" s="1">
        <f t="shared" si="9"/>
        <v>100</v>
      </c>
      <c r="D31" s="4">
        <v>0.08</v>
      </c>
      <c r="E31" s="5">
        <f t="shared" si="12"/>
        <v>4.0328767123287674</v>
      </c>
      <c r="F31" s="1">
        <v>0</v>
      </c>
      <c r="G31" s="1">
        <f t="shared" si="13"/>
        <v>4.0328767123287674</v>
      </c>
    </row>
    <row r="32" spans="1:7" x14ac:dyDescent="0.2">
      <c r="A32" s="1" t="s">
        <v>87</v>
      </c>
      <c r="B32" s="3">
        <v>47712</v>
      </c>
      <c r="C32" s="1">
        <f t="shared" si="9"/>
        <v>100</v>
      </c>
      <c r="D32" s="4">
        <v>0.08</v>
      </c>
      <c r="E32" s="5">
        <f t="shared" si="12"/>
        <v>3.967123287671233</v>
      </c>
      <c r="F32" s="1">
        <v>0</v>
      </c>
      <c r="G32" s="1">
        <f t="shared" si="13"/>
        <v>3.967123287671233</v>
      </c>
    </row>
    <row r="33" spans="1:7" x14ac:dyDescent="0.2">
      <c r="A33" s="1" t="s">
        <v>87</v>
      </c>
      <c r="B33" s="3">
        <v>47896</v>
      </c>
      <c r="C33" s="1">
        <f t="shared" si="9"/>
        <v>0</v>
      </c>
      <c r="D33" s="4">
        <v>0.08</v>
      </c>
      <c r="E33" s="5">
        <f t="shared" si="12"/>
        <v>4.0328767123287674</v>
      </c>
      <c r="F33" s="1">
        <v>100</v>
      </c>
      <c r="G33" s="1">
        <f t="shared" si="13"/>
        <v>104.03287671232877</v>
      </c>
    </row>
    <row r="35" spans="1:7" x14ac:dyDescent="0.2">
      <c r="A35" s="2" t="s">
        <v>0</v>
      </c>
      <c r="B35" s="2" t="s">
        <v>10</v>
      </c>
      <c r="C35" s="2" t="s">
        <v>11</v>
      </c>
      <c r="D35" s="2" t="s">
        <v>14</v>
      </c>
      <c r="E35" s="2" t="s">
        <v>12</v>
      </c>
      <c r="F35" s="2" t="s">
        <v>13</v>
      </c>
      <c r="G35" s="2" t="s">
        <v>15</v>
      </c>
    </row>
    <row r="36" spans="1:7" x14ac:dyDescent="0.2">
      <c r="A36" s="1" t="s">
        <v>88</v>
      </c>
      <c r="B36" s="3">
        <v>45805</v>
      </c>
      <c r="C36" s="1">
        <v>100</v>
      </c>
      <c r="D36" s="1">
        <v>0</v>
      </c>
      <c r="E36" s="1">
        <v>0</v>
      </c>
      <c r="F36" s="1">
        <v>0</v>
      </c>
      <c r="G36" s="1">
        <f>F36+E36</f>
        <v>0</v>
      </c>
    </row>
    <row r="37" spans="1:7" x14ac:dyDescent="0.2">
      <c r="A37" s="1" t="s">
        <v>88</v>
      </c>
      <c r="B37" s="3">
        <f>EDATE(B36,6)</f>
        <v>45989</v>
      </c>
      <c r="C37" s="1">
        <f t="shared" ref="C37:C53" si="14">C36-F37</f>
        <v>100</v>
      </c>
      <c r="D37" s="4">
        <v>9.2499999999999999E-2</v>
      </c>
      <c r="E37" s="5">
        <f>((D37*C36)/360)*DAYS360(B36,B37)</f>
        <v>4.625</v>
      </c>
      <c r="F37" s="1">
        <v>0</v>
      </c>
      <c r="G37" s="1">
        <f t="shared" ref="G37:G40" si="15">F37+E37</f>
        <v>4.625</v>
      </c>
    </row>
    <row r="38" spans="1:7" x14ac:dyDescent="0.2">
      <c r="A38" s="1" t="s">
        <v>88</v>
      </c>
      <c r="B38" s="3">
        <f t="shared" ref="B38:B53" si="16">EDATE(B37,6)</f>
        <v>46170</v>
      </c>
      <c r="C38" s="1">
        <f t="shared" si="14"/>
        <v>100</v>
      </c>
      <c r="D38" s="4">
        <v>9.2499999999999999E-2</v>
      </c>
      <c r="E38" s="5">
        <f t="shared" ref="E38:E53" si="17">((D38*C37)/360)*DAYS360(B37,B38)</f>
        <v>4.625</v>
      </c>
      <c r="F38" s="1">
        <v>0</v>
      </c>
      <c r="G38" s="1">
        <f t="shared" si="15"/>
        <v>4.625</v>
      </c>
    </row>
    <row r="39" spans="1:7" x14ac:dyDescent="0.2">
      <c r="A39" s="1" t="s">
        <v>88</v>
      </c>
      <c r="B39" s="3">
        <f t="shared" si="16"/>
        <v>46354</v>
      </c>
      <c r="C39" s="1">
        <f t="shared" si="14"/>
        <v>100</v>
      </c>
      <c r="D39" s="4">
        <v>9.2499999999999999E-2</v>
      </c>
      <c r="E39" s="5">
        <f t="shared" si="17"/>
        <v>4.625</v>
      </c>
      <c r="F39" s="1">
        <v>0</v>
      </c>
      <c r="G39" s="1">
        <f t="shared" si="15"/>
        <v>4.625</v>
      </c>
    </row>
    <row r="40" spans="1:7" x14ac:dyDescent="0.2">
      <c r="A40" s="1" t="s">
        <v>88</v>
      </c>
      <c r="B40" s="3">
        <f t="shared" si="16"/>
        <v>46535</v>
      </c>
      <c r="C40" s="1">
        <f t="shared" si="14"/>
        <v>100</v>
      </c>
      <c r="D40" s="4">
        <v>9.2499999999999999E-2</v>
      </c>
      <c r="E40" s="5">
        <f t="shared" si="17"/>
        <v>4.625</v>
      </c>
      <c r="F40" s="1">
        <v>0</v>
      </c>
      <c r="G40" s="1">
        <f t="shared" si="15"/>
        <v>4.625</v>
      </c>
    </row>
    <row r="41" spans="1:7" x14ac:dyDescent="0.2">
      <c r="A41" s="1" t="s">
        <v>88</v>
      </c>
      <c r="B41" s="3">
        <f t="shared" si="16"/>
        <v>46719</v>
      </c>
      <c r="C41" s="1">
        <f t="shared" si="14"/>
        <v>100</v>
      </c>
      <c r="D41" s="4">
        <v>9.2499999999999999E-2</v>
      </c>
      <c r="E41" s="5">
        <f t="shared" si="17"/>
        <v>4.625</v>
      </c>
      <c r="F41" s="1">
        <v>0</v>
      </c>
      <c r="G41" s="1">
        <f t="shared" ref="G41:G53" si="18">F41+E41</f>
        <v>4.625</v>
      </c>
    </row>
    <row r="42" spans="1:7" x14ac:dyDescent="0.2">
      <c r="A42" s="1" t="s">
        <v>88</v>
      </c>
      <c r="B42" s="3">
        <f t="shared" si="16"/>
        <v>46901</v>
      </c>
      <c r="C42" s="1">
        <f t="shared" si="14"/>
        <v>100</v>
      </c>
      <c r="D42" s="4">
        <v>9.2499999999999999E-2</v>
      </c>
      <c r="E42" s="5">
        <f t="shared" si="17"/>
        <v>4.625</v>
      </c>
      <c r="F42" s="1">
        <v>0</v>
      </c>
      <c r="G42" s="1">
        <f t="shared" si="18"/>
        <v>4.625</v>
      </c>
    </row>
    <row r="43" spans="1:7" x14ac:dyDescent="0.2">
      <c r="A43" s="1" t="s">
        <v>88</v>
      </c>
      <c r="B43" s="3">
        <f t="shared" si="16"/>
        <v>47085</v>
      </c>
      <c r="C43" s="1">
        <f t="shared" si="14"/>
        <v>100</v>
      </c>
      <c r="D43" s="4">
        <v>9.2499999999999999E-2</v>
      </c>
      <c r="E43" s="5">
        <f t="shared" si="17"/>
        <v>4.625</v>
      </c>
      <c r="F43" s="1">
        <v>0</v>
      </c>
      <c r="G43" s="1">
        <f t="shared" si="18"/>
        <v>4.625</v>
      </c>
    </row>
    <row r="44" spans="1:7" x14ac:dyDescent="0.2">
      <c r="A44" s="1" t="s">
        <v>88</v>
      </c>
      <c r="B44" s="3">
        <f t="shared" si="16"/>
        <v>47266</v>
      </c>
      <c r="C44" s="1">
        <f t="shared" si="14"/>
        <v>100</v>
      </c>
      <c r="D44" s="4">
        <v>9.2499999999999999E-2</v>
      </c>
      <c r="E44" s="5">
        <f t="shared" si="17"/>
        <v>4.625</v>
      </c>
      <c r="F44" s="1">
        <v>0</v>
      </c>
      <c r="G44" s="1">
        <f t="shared" si="18"/>
        <v>4.625</v>
      </c>
    </row>
    <row r="45" spans="1:7" x14ac:dyDescent="0.2">
      <c r="A45" s="1" t="s">
        <v>88</v>
      </c>
      <c r="B45" s="3">
        <f t="shared" si="16"/>
        <v>47450</v>
      </c>
      <c r="C45" s="1">
        <f t="shared" si="14"/>
        <v>100</v>
      </c>
      <c r="D45" s="4">
        <v>9.2499999999999999E-2</v>
      </c>
      <c r="E45" s="5">
        <f t="shared" si="17"/>
        <v>4.625</v>
      </c>
      <c r="F45" s="1">
        <v>0</v>
      </c>
      <c r="G45" s="1">
        <f t="shared" si="18"/>
        <v>4.625</v>
      </c>
    </row>
    <row r="46" spans="1:7" x14ac:dyDescent="0.2">
      <c r="A46" s="1" t="s">
        <v>88</v>
      </c>
      <c r="B46" s="3">
        <f t="shared" si="16"/>
        <v>47631</v>
      </c>
      <c r="C46" s="1">
        <f t="shared" si="14"/>
        <v>100</v>
      </c>
      <c r="D46" s="4">
        <v>9.2499999999999999E-2</v>
      </c>
      <c r="E46" s="5">
        <f t="shared" si="17"/>
        <v>4.625</v>
      </c>
      <c r="F46" s="1">
        <v>0</v>
      </c>
      <c r="G46" s="1">
        <f t="shared" si="18"/>
        <v>4.625</v>
      </c>
    </row>
    <row r="47" spans="1:7" x14ac:dyDescent="0.2">
      <c r="A47" s="1" t="s">
        <v>88</v>
      </c>
      <c r="B47" s="3">
        <f t="shared" si="16"/>
        <v>47815</v>
      </c>
      <c r="C47" s="1">
        <f t="shared" si="14"/>
        <v>100</v>
      </c>
      <c r="D47" s="4">
        <v>9.2499999999999999E-2</v>
      </c>
      <c r="E47" s="5">
        <f t="shared" si="17"/>
        <v>4.625</v>
      </c>
      <c r="F47" s="1">
        <v>0</v>
      </c>
      <c r="G47" s="1">
        <f t="shared" si="18"/>
        <v>4.625</v>
      </c>
    </row>
    <row r="48" spans="1:7" x14ac:dyDescent="0.2">
      <c r="A48" s="1" t="s">
        <v>88</v>
      </c>
      <c r="B48" s="3">
        <f t="shared" si="16"/>
        <v>47996</v>
      </c>
      <c r="C48" s="1">
        <f t="shared" si="14"/>
        <v>100</v>
      </c>
      <c r="D48" s="4">
        <v>9.2499999999999999E-2</v>
      </c>
      <c r="E48" s="5">
        <f t="shared" si="17"/>
        <v>4.625</v>
      </c>
      <c r="F48" s="1">
        <v>0</v>
      </c>
      <c r="G48" s="1">
        <f t="shared" si="18"/>
        <v>4.625</v>
      </c>
    </row>
    <row r="49" spans="1:7" x14ac:dyDescent="0.2">
      <c r="A49" s="1" t="s">
        <v>88</v>
      </c>
      <c r="B49" s="3">
        <f t="shared" si="16"/>
        <v>48180</v>
      </c>
      <c r="C49" s="1">
        <f t="shared" si="14"/>
        <v>100</v>
      </c>
      <c r="D49" s="4">
        <v>9.2499999999999999E-2</v>
      </c>
      <c r="E49" s="5">
        <f t="shared" si="17"/>
        <v>4.625</v>
      </c>
      <c r="F49" s="1">
        <v>0</v>
      </c>
      <c r="G49" s="1">
        <f t="shared" si="18"/>
        <v>4.625</v>
      </c>
    </row>
    <row r="50" spans="1:7" x14ac:dyDescent="0.2">
      <c r="A50" s="1" t="s">
        <v>88</v>
      </c>
      <c r="B50" s="3">
        <f t="shared" si="16"/>
        <v>48362</v>
      </c>
      <c r="C50" s="1">
        <f t="shared" si="14"/>
        <v>100</v>
      </c>
      <c r="D50" s="4">
        <v>9.2499999999999999E-2</v>
      </c>
      <c r="E50" s="5">
        <f t="shared" si="17"/>
        <v>4.625</v>
      </c>
      <c r="F50" s="1">
        <v>0</v>
      </c>
      <c r="G50" s="1">
        <f t="shared" si="18"/>
        <v>4.625</v>
      </c>
    </row>
    <row r="51" spans="1:7" x14ac:dyDescent="0.2">
      <c r="A51" s="1" t="s">
        <v>88</v>
      </c>
      <c r="B51" s="3">
        <f t="shared" si="16"/>
        <v>48546</v>
      </c>
      <c r="C51" s="1">
        <f t="shared" si="14"/>
        <v>50</v>
      </c>
      <c r="D51" s="4">
        <v>9.2499999999999999E-2</v>
      </c>
      <c r="E51" s="5">
        <f t="shared" si="17"/>
        <v>4.625</v>
      </c>
      <c r="F51" s="1">
        <v>50</v>
      </c>
      <c r="G51" s="1">
        <f t="shared" si="18"/>
        <v>54.625</v>
      </c>
    </row>
    <row r="52" spans="1:7" x14ac:dyDescent="0.2">
      <c r="A52" s="1" t="s">
        <v>88</v>
      </c>
      <c r="B52" s="3">
        <f t="shared" si="16"/>
        <v>48727</v>
      </c>
      <c r="C52" s="1">
        <f t="shared" si="14"/>
        <v>50</v>
      </c>
      <c r="D52" s="4">
        <v>9.2499999999999999E-2</v>
      </c>
      <c r="E52" s="5">
        <f t="shared" si="17"/>
        <v>2.3125</v>
      </c>
      <c r="F52" s="1">
        <v>0</v>
      </c>
      <c r="G52" s="1">
        <f t="shared" si="18"/>
        <v>2.3125</v>
      </c>
    </row>
    <row r="53" spans="1:7" x14ac:dyDescent="0.2">
      <c r="A53" s="1" t="s">
        <v>88</v>
      </c>
      <c r="B53" s="3">
        <f t="shared" si="16"/>
        <v>48911</v>
      </c>
      <c r="C53" s="1">
        <f t="shared" si="14"/>
        <v>0</v>
      </c>
      <c r="D53" s="4">
        <v>9.2499999999999999E-2</v>
      </c>
      <c r="E53" s="5">
        <f t="shared" si="17"/>
        <v>2.3125</v>
      </c>
      <c r="F53" s="1">
        <v>50</v>
      </c>
      <c r="G53" s="1">
        <f t="shared" si="18"/>
        <v>52.3125</v>
      </c>
    </row>
    <row r="55" spans="1:7" x14ac:dyDescent="0.2">
      <c r="A55" s="2" t="s">
        <v>0</v>
      </c>
      <c r="B55" s="2" t="s">
        <v>10</v>
      </c>
      <c r="C55" s="2" t="s">
        <v>11</v>
      </c>
      <c r="D55" s="2" t="s">
        <v>14</v>
      </c>
      <c r="E55" s="2" t="s">
        <v>12</v>
      </c>
      <c r="F55" s="2" t="s">
        <v>13</v>
      </c>
      <c r="G55" s="2" t="s">
        <v>15</v>
      </c>
    </row>
    <row r="56" spans="1:7" x14ac:dyDescent="0.2">
      <c r="A56" s="1" t="s">
        <v>89</v>
      </c>
      <c r="B56" s="3">
        <v>45993</v>
      </c>
      <c r="C56" s="1">
        <v>100</v>
      </c>
      <c r="D56" s="1">
        <v>0</v>
      </c>
      <c r="E56" s="1">
        <v>0</v>
      </c>
      <c r="F56" s="1">
        <v>0</v>
      </c>
      <c r="G56" s="1">
        <f>F56+E56</f>
        <v>0</v>
      </c>
    </row>
    <row r="57" spans="1:7" x14ac:dyDescent="0.2">
      <c r="A57" s="1" t="s">
        <v>89</v>
      </c>
      <c r="B57" s="3">
        <v>46175</v>
      </c>
      <c r="C57" s="1">
        <f t="shared" ref="C57:C72" si="19">C56-F57</f>
        <v>100</v>
      </c>
      <c r="D57" s="4">
        <v>7.7499999999999999E-2</v>
      </c>
      <c r="E57" s="5">
        <f>((D57*C56)/360)*DAYS360(B56,B57)</f>
        <v>3.875</v>
      </c>
      <c r="F57" s="1">
        <v>0</v>
      </c>
      <c r="G57" s="1">
        <f t="shared" ref="G57:G59" si="20">F57+E57</f>
        <v>3.875</v>
      </c>
    </row>
    <row r="58" spans="1:7" x14ac:dyDescent="0.2">
      <c r="A58" s="1" t="s">
        <v>89</v>
      </c>
      <c r="B58" s="3">
        <v>46358</v>
      </c>
      <c r="C58" s="1">
        <f t="shared" si="19"/>
        <v>100</v>
      </c>
      <c r="D58" s="4">
        <v>7.7499999999999999E-2</v>
      </c>
      <c r="E58" s="5">
        <f t="shared" ref="E58:E59" si="21">((D58*C57)/360)*DAYS360(B57,B58)</f>
        <v>3.875</v>
      </c>
      <c r="F58" s="1">
        <v>0</v>
      </c>
      <c r="G58" s="1">
        <f t="shared" si="20"/>
        <v>3.875</v>
      </c>
    </row>
    <row r="59" spans="1:7" x14ac:dyDescent="0.2">
      <c r="A59" s="1" t="s">
        <v>89</v>
      </c>
      <c r="B59" s="3">
        <v>46540</v>
      </c>
      <c r="C59" s="1">
        <f t="shared" si="19"/>
        <v>100</v>
      </c>
      <c r="D59" s="4">
        <v>7.7499999999999999E-2</v>
      </c>
      <c r="E59" s="5">
        <f t="shared" si="21"/>
        <v>3.875</v>
      </c>
      <c r="F59" s="1">
        <v>0</v>
      </c>
      <c r="G59" s="1">
        <f t="shared" si="20"/>
        <v>3.875</v>
      </c>
    </row>
    <row r="60" spans="1:7" x14ac:dyDescent="0.2">
      <c r="A60" s="1" t="s">
        <v>89</v>
      </c>
      <c r="B60" s="3">
        <v>46723</v>
      </c>
      <c r="C60" s="1">
        <f t="shared" si="19"/>
        <v>100</v>
      </c>
      <c r="D60" s="4">
        <v>7.7499999999999999E-2</v>
      </c>
      <c r="E60" s="5">
        <f t="shared" ref="E60:E72" si="22">((D60*C59)/360)*DAYS360(B59,B60)</f>
        <v>3.875</v>
      </c>
      <c r="F60" s="1">
        <v>0</v>
      </c>
      <c r="G60" s="1">
        <f t="shared" ref="G60:G72" si="23">F60+E60</f>
        <v>3.875</v>
      </c>
    </row>
    <row r="61" spans="1:7" x14ac:dyDescent="0.2">
      <c r="A61" s="1" t="s">
        <v>89</v>
      </c>
      <c r="B61" s="3">
        <v>46906</v>
      </c>
      <c r="C61" s="1">
        <f t="shared" si="19"/>
        <v>100</v>
      </c>
      <c r="D61" s="4">
        <v>7.7499999999999999E-2</v>
      </c>
      <c r="E61" s="5">
        <f t="shared" si="22"/>
        <v>3.875</v>
      </c>
      <c r="F61" s="1">
        <v>0</v>
      </c>
      <c r="G61" s="1">
        <f t="shared" si="23"/>
        <v>3.875</v>
      </c>
    </row>
    <row r="62" spans="1:7" x14ac:dyDescent="0.2">
      <c r="A62" s="1" t="s">
        <v>89</v>
      </c>
      <c r="B62" s="3">
        <v>47089</v>
      </c>
      <c r="C62" s="1">
        <f t="shared" si="19"/>
        <v>100</v>
      </c>
      <c r="D62" s="4">
        <v>7.7499999999999999E-2</v>
      </c>
      <c r="E62" s="5">
        <f t="shared" si="22"/>
        <v>3.875</v>
      </c>
      <c r="F62" s="1">
        <v>0</v>
      </c>
      <c r="G62" s="1">
        <f t="shared" si="23"/>
        <v>3.875</v>
      </c>
    </row>
    <row r="63" spans="1:7" x14ac:dyDescent="0.2">
      <c r="A63" s="1" t="s">
        <v>89</v>
      </c>
      <c r="B63" s="3">
        <v>47271</v>
      </c>
      <c r="C63" s="1">
        <f t="shared" si="19"/>
        <v>100</v>
      </c>
      <c r="D63" s="4">
        <v>7.7499999999999999E-2</v>
      </c>
      <c r="E63" s="5">
        <f t="shared" si="22"/>
        <v>3.875</v>
      </c>
      <c r="F63" s="1">
        <v>0</v>
      </c>
      <c r="G63" s="1">
        <f t="shared" si="23"/>
        <v>3.875</v>
      </c>
    </row>
    <row r="64" spans="1:7" x14ac:dyDescent="0.2">
      <c r="A64" s="1" t="s">
        <v>89</v>
      </c>
      <c r="B64" s="3">
        <v>47454</v>
      </c>
      <c r="C64" s="1">
        <f t="shared" si="19"/>
        <v>100</v>
      </c>
      <c r="D64" s="4">
        <v>7.7499999999999999E-2</v>
      </c>
      <c r="E64" s="5">
        <f t="shared" si="22"/>
        <v>3.875</v>
      </c>
      <c r="F64" s="1">
        <v>0</v>
      </c>
      <c r="G64" s="1">
        <f t="shared" si="23"/>
        <v>3.875</v>
      </c>
    </row>
    <row r="65" spans="1:7" x14ac:dyDescent="0.2">
      <c r="A65" s="1" t="s">
        <v>89</v>
      </c>
      <c r="B65" s="3">
        <v>47636</v>
      </c>
      <c r="C65" s="1">
        <f t="shared" si="19"/>
        <v>100</v>
      </c>
      <c r="D65" s="4">
        <v>7.7499999999999999E-2</v>
      </c>
      <c r="E65" s="5">
        <f t="shared" si="22"/>
        <v>3.875</v>
      </c>
      <c r="F65" s="1">
        <v>0</v>
      </c>
      <c r="G65" s="1">
        <f t="shared" si="23"/>
        <v>3.875</v>
      </c>
    </row>
    <row r="66" spans="1:7" x14ac:dyDescent="0.2">
      <c r="A66" s="1" t="s">
        <v>89</v>
      </c>
      <c r="B66" s="3">
        <v>47819</v>
      </c>
      <c r="C66" s="1">
        <f t="shared" si="19"/>
        <v>100</v>
      </c>
      <c r="D66" s="4">
        <v>7.7499999999999999E-2</v>
      </c>
      <c r="E66" s="5">
        <f t="shared" si="22"/>
        <v>3.875</v>
      </c>
      <c r="F66" s="1">
        <v>0</v>
      </c>
      <c r="G66" s="1">
        <f t="shared" si="23"/>
        <v>3.875</v>
      </c>
    </row>
    <row r="67" spans="1:7" x14ac:dyDescent="0.2">
      <c r="A67" s="1" t="s">
        <v>89</v>
      </c>
      <c r="B67" s="3">
        <v>48001</v>
      </c>
      <c r="C67" s="1">
        <f t="shared" si="19"/>
        <v>100</v>
      </c>
      <c r="D67" s="4">
        <v>7.7499999999999999E-2</v>
      </c>
      <c r="E67" s="5">
        <f t="shared" si="22"/>
        <v>3.875</v>
      </c>
      <c r="F67" s="1">
        <v>0</v>
      </c>
      <c r="G67" s="1">
        <f t="shared" si="23"/>
        <v>3.875</v>
      </c>
    </row>
    <row r="68" spans="1:7" x14ac:dyDescent="0.2">
      <c r="A68" s="1" t="s">
        <v>89</v>
      </c>
      <c r="B68" s="3">
        <v>48184</v>
      </c>
      <c r="C68" s="1">
        <f t="shared" si="19"/>
        <v>67</v>
      </c>
      <c r="D68" s="4">
        <v>7.7499999999999999E-2</v>
      </c>
      <c r="E68" s="5">
        <f t="shared" si="22"/>
        <v>3.875</v>
      </c>
      <c r="F68" s="1">
        <v>33</v>
      </c>
      <c r="G68" s="1">
        <f t="shared" si="23"/>
        <v>36.875</v>
      </c>
    </row>
    <row r="69" spans="1:7" x14ac:dyDescent="0.2">
      <c r="A69" s="1" t="s">
        <v>89</v>
      </c>
      <c r="B69" s="3">
        <v>48367</v>
      </c>
      <c r="C69" s="1">
        <f t="shared" si="19"/>
        <v>67</v>
      </c>
      <c r="D69" s="4">
        <v>7.7499999999999999E-2</v>
      </c>
      <c r="E69" s="5">
        <f t="shared" si="22"/>
        <v>2.5962499999999999</v>
      </c>
      <c r="F69" s="1">
        <v>0</v>
      </c>
      <c r="G69" s="1">
        <f t="shared" si="23"/>
        <v>2.5962499999999999</v>
      </c>
    </row>
    <row r="70" spans="1:7" x14ac:dyDescent="0.2">
      <c r="A70" s="1" t="s">
        <v>89</v>
      </c>
      <c r="B70" s="3">
        <v>48550</v>
      </c>
      <c r="C70" s="1">
        <f t="shared" si="19"/>
        <v>34</v>
      </c>
      <c r="D70" s="4">
        <v>7.7499999999999999E-2</v>
      </c>
      <c r="E70" s="5">
        <f t="shared" si="22"/>
        <v>2.5962499999999999</v>
      </c>
      <c r="F70" s="1">
        <v>33</v>
      </c>
      <c r="G70" s="1">
        <f t="shared" si="23"/>
        <v>35.596249999999998</v>
      </c>
    </row>
    <row r="71" spans="1:7" x14ac:dyDescent="0.2">
      <c r="A71" s="1" t="s">
        <v>89</v>
      </c>
      <c r="B71" s="3">
        <v>48732</v>
      </c>
      <c r="C71" s="1">
        <f t="shared" si="19"/>
        <v>34</v>
      </c>
      <c r="D71" s="4">
        <v>7.7499999999999999E-2</v>
      </c>
      <c r="E71" s="5">
        <f t="shared" si="22"/>
        <v>1.3174999999999999</v>
      </c>
      <c r="F71" s="1">
        <v>0</v>
      </c>
      <c r="G71" s="1">
        <f t="shared" si="23"/>
        <v>1.3174999999999999</v>
      </c>
    </row>
    <row r="72" spans="1:7" x14ac:dyDescent="0.2">
      <c r="A72" s="1" t="s">
        <v>89</v>
      </c>
      <c r="B72" s="3">
        <v>48915</v>
      </c>
      <c r="C72" s="1">
        <f t="shared" si="19"/>
        <v>0</v>
      </c>
      <c r="D72" s="4">
        <v>7.7499999999999999E-2</v>
      </c>
      <c r="E72" s="5">
        <f t="shared" si="22"/>
        <v>1.3174999999999999</v>
      </c>
      <c r="F72" s="1">
        <v>34</v>
      </c>
      <c r="G72" s="1">
        <f t="shared" si="23"/>
        <v>35.317500000000003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baseColWidth="10" defaultRowHeight="15"/>
  <cols>
    <col min="1" max="3" width="22" customWidth="1"/>
  </cols>
  <sheetData>
    <row r="1" spans="1:3">
      <c r="A1" s="2" t="s">
        <v>0</v>
      </c>
      <c r="B1" s="2" t="s">
        <v>108</v>
      </c>
      <c r="C1" s="2" t="s">
        <v>3</v>
      </c>
    </row>
    <row r="2" spans="1:3">
      <c r="A2" s="1" t="s">
        <v>128</v>
      </c>
      <c r="B2" s="1" t="s">
        <v>129</v>
      </c>
      <c r="C2" s="3">
        <v>47196</v>
      </c>
    </row>
    <row r="3" spans="1:3">
      <c r="A3" s="1" t="s">
        <v>130</v>
      </c>
      <c r="B3" s="1" t="s">
        <v>158</v>
      </c>
      <c r="C3" s="3">
        <v>47600</v>
      </c>
    </row>
    <row r="4" spans="1:3">
      <c r="A4" s="1" t="s">
        <v>120</v>
      </c>
      <c r="B4" s="1" t="s">
        <v>121</v>
      </c>
      <c r="C4" s="3">
        <v>48397</v>
      </c>
    </row>
    <row r="5" spans="1:3">
      <c r="A5" s="1" t="s">
        <v>126</v>
      </c>
      <c r="B5" s="1" t="s">
        <v>161</v>
      </c>
      <c r="C5" s="3">
        <v>48642</v>
      </c>
    </row>
    <row r="6" spans="1:3">
      <c r="A6" s="1" t="s">
        <v>164</v>
      </c>
      <c r="B6" s="1" t="s">
        <v>165</v>
      </c>
      <c r="C6" s="3">
        <v>49289</v>
      </c>
    </row>
    <row r="7" spans="1:3">
      <c r="A7" s="1" t="s">
        <v>122</v>
      </c>
      <c r="B7" s="1" t="s">
        <v>123</v>
      </c>
      <c r="C7" s="3">
        <v>49343</v>
      </c>
    </row>
    <row r="8" spans="1:3">
      <c r="A8" s="1" t="s">
        <v>116</v>
      </c>
      <c r="B8" s="1" t="s">
        <v>117</v>
      </c>
      <c r="C8" s="3">
        <v>49808</v>
      </c>
    </row>
    <row r="9" spans="1:3">
      <c r="A9" s="1" t="s">
        <v>110</v>
      </c>
      <c r="B9" s="1" t="s">
        <v>166</v>
      </c>
      <c r="C9" s="3">
        <v>50284</v>
      </c>
    </row>
    <row r="10" spans="1:3">
      <c r="A10" s="1" t="s">
        <v>112</v>
      </c>
      <c r="B10" s="1" t="s">
        <v>167</v>
      </c>
      <c r="C10" s="3">
        <v>50284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baseColWidth="10" defaultRowHeight="15"/>
  <cols>
    <col min="1" max="1" width="10"/>
    <col min="2" max="2" width="26"/>
    <col min="3" max="3" width="18"/>
    <col min="4" max="5" width="10"/>
  </cols>
  <sheetData>
    <row r="1" spans="1:5">
      <c r="A1" s="2" t="s">
        <v>0</v>
      </c>
      <c r="B1" s="2" t="s">
        <v>108</v>
      </c>
      <c r="C1" s="2" t="s">
        <v>3</v>
      </c>
      <c r="D1" s="2" t="s">
        <v>172</v>
      </c>
      <c r="E1" s="2" t="s">
        <v>173</v>
      </c>
    </row>
    <row r="2" spans="1:5">
      <c r="A2" s="1" t="s">
        <v>174</v>
      </c>
      <c r="B2" s="1" t="s">
        <v>175</v>
      </c>
      <c r="C2" s="3">
        <v>47036</v>
      </c>
      <c r="D2" s="1" t="s">
        <v>176</v>
      </c>
      <c r="E2" s="1" t="s">
        <v>447</v>
      </c>
    </row>
    <row r="3" spans="1:5">
      <c r="A3" s="1" t="s">
        <v>178</v>
      </c>
      <c r="B3" s="1" t="s">
        <v>179</v>
      </c>
      <c r="C3" s="3">
        <v>47876</v>
      </c>
      <c r="D3" s="1" t="s">
        <v>176</v>
      </c>
      <c r="E3" s="1" t="s">
        <v>447</v>
      </c>
    </row>
    <row r="4" spans="1:5">
      <c r="A4" s="1" t="s">
        <v>180</v>
      </c>
      <c r="B4" s="1" t="s">
        <v>181</v>
      </c>
      <c r="C4" s="3">
        <v>47815</v>
      </c>
      <c r="D4" s="1" t="s">
        <v>176</v>
      </c>
      <c r="E4" s="1" t="s">
        <v>447</v>
      </c>
    </row>
    <row r="5" spans="1:5">
      <c r="A5" s="1" t="s">
        <v>182</v>
      </c>
      <c r="B5" s="1" t="s">
        <v>183</v>
      </c>
      <c r="C5" s="3">
        <v>47780</v>
      </c>
      <c r="D5" s="1" t="s">
        <v>176</v>
      </c>
      <c r="E5" s="1" t="s">
        <v>447</v>
      </c>
    </row>
    <row r="6" spans="1:5">
      <c r="A6" s="1" t="s">
        <v>184</v>
      </c>
      <c r="B6" s="1" t="s">
        <v>185</v>
      </c>
      <c r="C6" s="3">
        <v>48697</v>
      </c>
      <c r="D6" s="1" t="s">
        <v>176</v>
      </c>
      <c r="E6" s="1" t="s">
        <v>447</v>
      </c>
    </row>
    <row r="7" spans="1:5">
      <c r="A7" s="1" t="s">
        <v>186</v>
      </c>
      <c r="B7" s="1" t="s">
        <v>187</v>
      </c>
      <c r="C7" s="3">
        <v>49309</v>
      </c>
      <c r="D7" s="1" t="s">
        <v>176</v>
      </c>
      <c r="E7" s="1" t="s">
        <v>447</v>
      </c>
    </row>
    <row r="8" spans="1:5">
      <c r="A8" s="1" t="s">
        <v>89</v>
      </c>
      <c r="B8" s="1" t="s">
        <v>189</v>
      </c>
      <c r="C8" s="3">
        <v>48915</v>
      </c>
      <c r="D8" s="1" t="s">
        <v>176</v>
      </c>
      <c r="E8" s="1" t="s">
        <v>447</v>
      </c>
    </row>
    <row r="9" spans="1:5">
      <c r="A9" s="1" t="s">
        <v>190</v>
      </c>
      <c r="B9" s="1" t="s">
        <v>191</v>
      </c>
      <c r="C9" s="3">
        <v>46926</v>
      </c>
      <c r="D9" s="1" t="s">
        <v>176</v>
      </c>
      <c r="E9" s="1" t="s">
        <v>447</v>
      </c>
    </row>
    <row r="10" spans="1:5">
      <c r="A10" s="1" t="s">
        <v>192</v>
      </c>
      <c r="B10" s="1" t="s">
        <v>193</v>
      </c>
      <c r="C10" s="3">
        <v>49399</v>
      </c>
      <c r="D10" s="1" t="s">
        <v>176</v>
      </c>
      <c r="E10" s="1" t="s">
        <v>447</v>
      </c>
    </row>
    <row r="11" spans="1:5">
      <c r="A11" s="1" t="s">
        <v>194</v>
      </c>
      <c r="B11" s="1" t="s">
        <v>195</v>
      </c>
      <c r="C11" s="3">
        <v>47822</v>
      </c>
      <c r="D11" s="1" t="s">
        <v>176</v>
      </c>
      <c r="E11" s="1" t="s">
        <v>447</v>
      </c>
    </row>
    <row r="12" spans="1:5">
      <c r="A12" s="1" t="s">
        <v>196</v>
      </c>
      <c r="B12" s="1" t="s">
        <v>197</v>
      </c>
      <c r="C12" s="3">
        <v>49842</v>
      </c>
      <c r="D12" s="1" t="s">
        <v>176</v>
      </c>
      <c r="E12" s="1" t="s">
        <v>447</v>
      </c>
    </row>
    <row r="13" spans="1:5">
      <c r="A13" s="1" t="s">
        <v>198</v>
      </c>
      <c r="B13" s="1" t="s">
        <v>199</v>
      </c>
      <c r="C13" s="3">
        <v>48101</v>
      </c>
      <c r="D13" s="1" t="s">
        <v>176</v>
      </c>
      <c r="E13" s="1" t="s">
        <v>447</v>
      </c>
    </row>
    <row r="14" spans="1:5">
      <c r="A14" s="1" t="s">
        <v>200</v>
      </c>
      <c r="B14" s="1" t="s">
        <v>201</v>
      </c>
      <c r="C14" s="3">
        <v>49294</v>
      </c>
      <c r="D14" s="1" t="s">
        <v>176</v>
      </c>
      <c r="E14" s="1" t="s">
        <v>447</v>
      </c>
    </row>
    <row r="15" spans="1:5">
      <c r="A15" s="1" t="s">
        <v>202</v>
      </c>
      <c r="B15" s="1" t="s">
        <v>203</v>
      </c>
      <c r="C15" s="3">
        <v>50358</v>
      </c>
      <c r="D15" s="1" t="s">
        <v>176</v>
      </c>
      <c r="E15" s="1" t="s">
        <v>447</v>
      </c>
    </row>
    <row r="16" spans="1:5">
      <c r="A16" s="1" t="s">
        <v>204</v>
      </c>
      <c r="B16" s="1" t="s">
        <v>205</v>
      </c>
      <c r="C16" s="3">
        <v>50055</v>
      </c>
      <c r="D16" s="1" t="s">
        <v>176</v>
      </c>
      <c r="E16" s="1" t="s">
        <v>447</v>
      </c>
    </row>
    <row r="17" spans="1:5">
      <c r="A17" s="1" t="s">
        <v>206</v>
      </c>
      <c r="B17" s="1" t="s">
        <v>207</v>
      </c>
      <c r="C17" s="3">
        <v>47986</v>
      </c>
      <c r="D17" s="1" t="s">
        <v>176</v>
      </c>
      <c r="E17" s="1" t="s">
        <v>447</v>
      </c>
    </row>
    <row r="18" spans="1:5">
      <c r="A18" s="1" t="s">
        <v>208</v>
      </c>
      <c r="B18" s="1" t="s">
        <v>209</v>
      </c>
      <c r="C18" s="3">
        <v>48364</v>
      </c>
      <c r="D18" s="1" t="s">
        <v>176</v>
      </c>
      <c r="E18" s="1" t="s">
        <v>447</v>
      </c>
    </row>
    <row r="19" spans="1:5">
      <c r="A19" s="1" t="s">
        <v>210</v>
      </c>
      <c r="B19" s="1" t="s">
        <v>211</v>
      </c>
      <c r="C19" s="3">
        <v>50313</v>
      </c>
      <c r="D19" s="1" t="s">
        <v>176</v>
      </c>
      <c r="E19" s="1" t="s">
        <v>447</v>
      </c>
    </row>
    <row r="20" spans="1:5">
      <c r="A20" s="1" t="s">
        <v>212</v>
      </c>
      <c r="B20" s="1" t="s">
        <v>213</v>
      </c>
      <c r="C20" s="3">
        <v>47790</v>
      </c>
      <c r="D20" s="1" t="s">
        <v>176</v>
      </c>
      <c r="E20" s="1" t="s">
        <v>447</v>
      </c>
    </row>
    <row r="21" spans="1:5">
      <c r="A21" s="1" t="s">
        <v>214</v>
      </c>
      <c r="B21" s="1" t="s">
        <v>215</v>
      </c>
      <c r="C21" s="3">
        <v>48047</v>
      </c>
      <c r="D21" s="1" t="s">
        <v>176</v>
      </c>
      <c r="E21" s="1" t="s">
        <v>447</v>
      </c>
    </row>
    <row r="22" spans="1:5">
      <c r="A22" s="1" t="s">
        <v>88</v>
      </c>
      <c r="B22" s="1" t="s">
        <v>217</v>
      </c>
      <c r="C22" s="3">
        <v>48727</v>
      </c>
      <c r="D22" s="1" t="s">
        <v>176</v>
      </c>
      <c r="E22" s="1" t="s">
        <v>447</v>
      </c>
    </row>
    <row r="23" spans="1:5">
      <c r="A23" s="1" t="s">
        <v>218</v>
      </c>
      <c r="B23" s="1" t="s">
        <v>219</v>
      </c>
      <c r="C23" s="3">
        <v>49694</v>
      </c>
      <c r="D23" s="1" t="s">
        <v>176</v>
      </c>
      <c r="E23" s="1" t="s">
        <v>447</v>
      </c>
    </row>
    <row r="24" spans="1:5">
      <c r="A24" s="1" t="s">
        <v>220</v>
      </c>
      <c r="B24" s="1" t="s">
        <v>221</v>
      </c>
      <c r="C24" s="3">
        <v>48053</v>
      </c>
      <c r="D24" s="1" t="s">
        <v>176</v>
      </c>
      <c r="E24" s="1" t="s">
        <v>447</v>
      </c>
    </row>
    <row r="25" spans="1:5">
      <c r="A25" s="1" t="s">
        <v>222</v>
      </c>
      <c r="B25" s="1" t="s">
        <v>223</v>
      </c>
      <c r="C25" s="3">
        <v>49633</v>
      </c>
      <c r="D25" s="1" t="s">
        <v>176</v>
      </c>
      <c r="E25" s="1" t="s">
        <v>447</v>
      </c>
    </row>
    <row r="26" spans="1:5">
      <c r="A26" s="1" t="s">
        <v>224</v>
      </c>
      <c r="B26" s="1" t="s">
        <v>225</v>
      </c>
      <c r="C26" s="3">
        <v>48740</v>
      </c>
      <c r="D26" s="1" t="s">
        <v>176</v>
      </c>
      <c r="E26" s="1" t="s">
        <v>447</v>
      </c>
    </row>
    <row r="27" spans="1:5">
      <c r="A27" s="1" t="s">
        <v>226</v>
      </c>
      <c r="B27" s="1" t="s">
        <v>227</v>
      </c>
      <c r="C27" s="3">
        <v>49653</v>
      </c>
      <c r="D27" s="1" t="s">
        <v>176</v>
      </c>
      <c r="E27" s="1" t="s">
        <v>447</v>
      </c>
    </row>
    <row r="28" spans="1:5">
      <c r="A28" s="1" t="s">
        <v>228</v>
      </c>
      <c r="B28" s="1" t="s">
        <v>229</v>
      </c>
      <c r="C28" s="3">
        <v>50503</v>
      </c>
      <c r="D28" s="1" t="s">
        <v>176</v>
      </c>
      <c r="E28" s="1" t="s">
        <v>447</v>
      </c>
    </row>
    <row r="29" spans="1:5">
      <c r="A29" s="1" t="s">
        <v>230</v>
      </c>
      <c r="B29" s="1" t="s">
        <v>231</v>
      </c>
      <c r="C29" s="3">
        <v>47299</v>
      </c>
      <c r="D29" s="1" t="s">
        <v>176</v>
      </c>
      <c r="E29" s="1" t="s">
        <v>447</v>
      </c>
    </row>
    <row r="30" spans="1:5">
      <c r="A30" s="1" t="s">
        <v>232</v>
      </c>
      <c r="B30" s="1" t="s">
        <v>233</v>
      </c>
      <c r="C30" s="3">
        <v>48102</v>
      </c>
      <c r="D30" s="1" t="s">
        <v>176</v>
      </c>
      <c r="E30" s="1" t="s">
        <v>447</v>
      </c>
    </row>
    <row r="31" spans="1:5">
      <c r="A31" s="1" t="s">
        <v>234</v>
      </c>
      <c r="B31" s="1" t="s">
        <v>235</v>
      </c>
      <c r="C31" s="3">
        <v>48852</v>
      </c>
      <c r="D31" s="1" t="s">
        <v>176</v>
      </c>
      <c r="E31" s="1" t="s">
        <v>447</v>
      </c>
    </row>
    <row r="32" spans="1:5">
      <c r="A32" s="1" t="s">
        <v>236</v>
      </c>
      <c r="B32" s="1" t="s">
        <v>237</v>
      </c>
      <c r="C32" s="3">
        <v>48961</v>
      </c>
      <c r="D32" s="1" t="s">
        <v>176</v>
      </c>
      <c r="E32" s="1" t="s">
        <v>447</v>
      </c>
    </row>
    <row r="33" spans="1:5">
      <c r="A33" s="1" t="s">
        <v>238</v>
      </c>
      <c r="B33" s="1" t="s">
        <v>239</v>
      </c>
      <c r="C33" s="3">
        <v>48503</v>
      </c>
      <c r="D33" s="1" t="s">
        <v>176</v>
      </c>
      <c r="E33" s="1" t="s">
        <v>447</v>
      </c>
    </row>
    <row r="34" spans="1:5">
      <c r="A34" s="1" t="s">
        <v>240</v>
      </c>
      <c r="B34" s="1" t="s">
        <v>241</v>
      </c>
      <c r="C34" s="3">
        <v>46916</v>
      </c>
      <c r="D34" s="1" t="s">
        <v>242</v>
      </c>
      <c r="E34" s="1" t="s">
        <v>448</v>
      </c>
    </row>
    <row r="35" spans="1:5">
      <c r="A35" s="1" t="s">
        <v>243</v>
      </c>
      <c r="B35" s="1" t="s">
        <v>244</v>
      </c>
      <c r="C35" s="3">
        <v>47274</v>
      </c>
      <c r="D35" s="1" t="s">
        <v>242</v>
      </c>
      <c r="E35" s="1" t="s">
        <v>448</v>
      </c>
    </row>
    <row r="36" spans="1:5">
      <c r="A36" s="1" t="s">
        <v>245</v>
      </c>
      <c r="B36" s="1" t="s">
        <v>246</v>
      </c>
      <c r="C36" s="3">
        <v>47537</v>
      </c>
      <c r="D36" s="1" t="s">
        <v>242</v>
      </c>
      <c r="E36" s="1" t="s">
        <v>448</v>
      </c>
    </row>
    <row r="37" spans="1:5">
      <c r="A37" s="1" t="s">
        <v>247</v>
      </c>
      <c r="B37" s="1" t="s">
        <v>248</v>
      </c>
      <c r="C37" s="3">
        <v>46610</v>
      </c>
      <c r="D37" s="1" t="s">
        <v>242</v>
      </c>
      <c r="E37" s="1" t="s">
        <v>447</v>
      </c>
    </row>
    <row r="38" spans="1:5">
      <c r="A38" s="1" t="s">
        <v>249</v>
      </c>
      <c r="B38" s="1" t="s">
        <v>250</v>
      </c>
      <c r="C38" s="3">
        <v>47357</v>
      </c>
      <c r="D38" s="1" t="s">
        <v>242</v>
      </c>
      <c r="E38" s="1" t="s">
        <v>448</v>
      </c>
    </row>
    <row r="39" spans="1:5">
      <c r="A39" s="1" t="s">
        <v>251</v>
      </c>
      <c r="B39" s="1" t="s">
        <v>252</v>
      </c>
      <c r="C39" s="3">
        <v>47388</v>
      </c>
      <c r="D39" s="1" t="s">
        <v>242</v>
      </c>
      <c r="E39" s="1" t="s">
        <v>448</v>
      </c>
    </row>
    <row r="40" spans="1:5">
      <c r="A40" s="1" t="s">
        <v>253</v>
      </c>
      <c r="B40" s="1" t="s">
        <v>254</v>
      </c>
      <c r="C40" s="3">
        <v>48165</v>
      </c>
      <c r="D40" s="1" t="s">
        <v>242</v>
      </c>
      <c r="E40" s="1" t="s">
        <v>448</v>
      </c>
    </row>
    <row r="41" spans="1:5">
      <c r="A41" s="1" t="s">
        <v>255</v>
      </c>
      <c r="B41" s="1" t="s">
        <v>256</v>
      </c>
      <c r="C41" s="3">
        <v>46971</v>
      </c>
      <c r="D41" s="1" t="s">
        <v>242</v>
      </c>
      <c r="E41" s="1" t="s">
        <v>447</v>
      </c>
    </row>
    <row r="42" spans="1:5">
      <c r="A42" s="1" t="s">
        <v>257</v>
      </c>
      <c r="B42" s="1" t="s">
        <v>258</v>
      </c>
      <c r="C42" s="3">
        <v>47209</v>
      </c>
      <c r="D42" s="1" t="s">
        <v>242</v>
      </c>
      <c r="E42" s="1" t="s">
        <v>448</v>
      </c>
    </row>
    <row r="43" spans="1:5">
      <c r="A43" s="1" t="s">
        <v>259</v>
      </c>
      <c r="B43" s="1" t="s">
        <v>260</v>
      </c>
      <c r="C43" s="3">
        <v>47187</v>
      </c>
      <c r="D43" s="1" t="s">
        <v>242</v>
      </c>
      <c r="E43" s="1" t="s">
        <v>448</v>
      </c>
    </row>
    <row r="44" spans="1:5">
      <c r="A44" s="1" t="s">
        <v>261</v>
      </c>
      <c r="B44" s="1" t="s">
        <v>262</v>
      </c>
      <c r="C44" s="3">
        <v>47614</v>
      </c>
      <c r="D44" s="1" t="s">
        <v>242</v>
      </c>
      <c r="E44" s="1" t="s">
        <v>448</v>
      </c>
    </row>
    <row r="45" spans="1:5">
      <c r="A45" s="1" t="s">
        <v>263</v>
      </c>
      <c r="B45" s="1" t="s">
        <v>264</v>
      </c>
      <c r="C45" s="3">
        <v>47176</v>
      </c>
      <c r="D45" s="1" t="s">
        <v>242</v>
      </c>
      <c r="E45" s="1" t="s">
        <v>448</v>
      </c>
    </row>
    <row r="46" spans="1:5">
      <c r="A46" s="1" t="s">
        <v>265</v>
      </c>
      <c r="B46" s="1" t="s">
        <v>266</v>
      </c>
      <c r="C46" s="3">
        <v>47510</v>
      </c>
      <c r="D46" s="1" t="s">
        <v>242</v>
      </c>
      <c r="E46" s="1" t="s">
        <v>448</v>
      </c>
    </row>
    <row r="47" spans="1:5">
      <c r="A47" s="1" t="s">
        <v>267</v>
      </c>
      <c r="B47" s="1" t="s">
        <v>268</v>
      </c>
      <c r="C47" s="3">
        <v>48131</v>
      </c>
      <c r="D47" s="1" t="s">
        <v>242</v>
      </c>
      <c r="E47" s="1" t="s">
        <v>447</v>
      </c>
    </row>
    <row r="48" spans="1:5">
      <c r="A48" s="1" t="s">
        <v>269</v>
      </c>
      <c r="B48" s="1" t="s">
        <v>270</v>
      </c>
      <c r="C48" s="3">
        <v>46514</v>
      </c>
      <c r="D48" s="1" t="s">
        <v>242</v>
      </c>
      <c r="E48" s="1" t="s">
        <v>448</v>
      </c>
    </row>
    <row r="49" spans="1:5">
      <c r="A49" s="1" t="s">
        <v>271</v>
      </c>
      <c r="B49" s="1" t="s">
        <v>272</v>
      </c>
      <c r="C49" s="3">
        <v>46590</v>
      </c>
      <c r="D49" s="1" t="s">
        <v>242</v>
      </c>
      <c r="E49" s="1" t="s">
        <v>448</v>
      </c>
    </row>
    <row r="50" spans="1:5">
      <c r="A50" s="1" t="s">
        <v>273</v>
      </c>
      <c r="B50" s="1" t="s">
        <v>274</v>
      </c>
      <c r="C50" s="3">
        <v>47036</v>
      </c>
      <c r="D50" s="1" t="s">
        <v>242</v>
      </c>
      <c r="E50" s="1" t="s">
        <v>448</v>
      </c>
    </row>
    <row r="51" spans="1:5">
      <c r="A51" s="1" t="s">
        <v>275</v>
      </c>
      <c r="B51" s="1" t="s">
        <v>231</v>
      </c>
      <c r="C51" s="3">
        <v>47179</v>
      </c>
      <c r="D51" s="1" t="s">
        <v>242</v>
      </c>
      <c r="E51" s="1" t="s">
        <v>448</v>
      </c>
    </row>
    <row r="52" spans="1:5">
      <c r="A52" s="1" t="s">
        <v>276</v>
      </c>
      <c r="B52" s="1" t="s">
        <v>277</v>
      </c>
      <c r="C52" s="3">
        <v>47587</v>
      </c>
      <c r="D52" s="1" t="s">
        <v>242</v>
      </c>
      <c r="E52" s="1" t="s">
        <v>448</v>
      </c>
    </row>
    <row r="53" spans="1:5">
      <c r="A53" s="1" t="s">
        <v>278</v>
      </c>
      <c r="B53" s="1" t="s">
        <v>279</v>
      </c>
      <c r="C53" s="3">
        <v>47686</v>
      </c>
      <c r="D53" s="1" t="s">
        <v>242</v>
      </c>
      <c r="E53" s="1" t="s">
        <v>447</v>
      </c>
    </row>
    <row r="54" spans="1:5">
      <c r="A54" s="1" t="s">
        <v>280</v>
      </c>
      <c r="B54" s="1" t="s">
        <v>281</v>
      </c>
      <c r="C54" s="3">
        <v>46265</v>
      </c>
      <c r="D54" s="1" t="s">
        <v>242</v>
      </c>
      <c r="E54" s="1" t="s">
        <v>448</v>
      </c>
    </row>
    <row r="55" spans="1:5">
      <c r="A55" s="1" t="s">
        <v>282</v>
      </c>
      <c r="B55" s="1" t="s">
        <v>283</v>
      </c>
      <c r="C55" s="3">
        <v>46256</v>
      </c>
      <c r="D55" s="1" t="s">
        <v>242</v>
      </c>
      <c r="E55" s="1" t="s">
        <v>448</v>
      </c>
    </row>
    <row r="56" spans="1:5">
      <c r="A56" s="1" t="s">
        <v>284</v>
      </c>
      <c r="B56" s="1" t="s">
        <v>285</v>
      </c>
      <c r="C56" s="3">
        <v>46907</v>
      </c>
      <c r="D56" s="1" t="s">
        <v>242</v>
      </c>
      <c r="E56" s="1" t="s">
        <v>448</v>
      </c>
    </row>
    <row r="57" spans="1:5">
      <c r="A57" s="1" t="s">
        <v>286</v>
      </c>
      <c r="B57" s="1" t="s">
        <v>287</v>
      </c>
      <c r="C57" s="3">
        <v>46534</v>
      </c>
      <c r="D57" s="1" t="s">
        <v>242</v>
      </c>
      <c r="E57" s="1" t="s">
        <v>448</v>
      </c>
    </row>
    <row r="58" spans="1:5">
      <c r="A58" s="1" t="s">
        <v>288</v>
      </c>
      <c r="B58" s="1" t="s">
        <v>289</v>
      </c>
      <c r="C58" s="3">
        <v>47095</v>
      </c>
      <c r="D58" s="1" t="s">
        <v>242</v>
      </c>
      <c r="E58" s="1" t="s">
        <v>448</v>
      </c>
    </row>
    <row r="59" spans="1:5">
      <c r="A59" s="1" t="s">
        <v>290</v>
      </c>
      <c r="B59" s="1" t="s">
        <v>291</v>
      </c>
      <c r="C59" s="3">
        <v>46265</v>
      </c>
      <c r="D59" s="1" t="s">
        <v>242</v>
      </c>
      <c r="E59" s="1" t="s">
        <v>448</v>
      </c>
    </row>
    <row r="60" spans="1:5">
      <c r="A60" s="1" t="s">
        <v>292</v>
      </c>
      <c r="B60" s="1" t="s">
        <v>293</v>
      </c>
      <c r="C60" s="3">
        <v>46592</v>
      </c>
      <c r="D60" s="1" t="s">
        <v>242</v>
      </c>
      <c r="E60" s="1" t="s">
        <v>448</v>
      </c>
    </row>
    <row r="61" spans="1:5">
      <c r="A61" s="1" t="s">
        <v>294</v>
      </c>
      <c r="B61" s="1" t="s">
        <v>295</v>
      </c>
      <c r="C61" s="3">
        <v>46901</v>
      </c>
      <c r="D61" s="1" t="s">
        <v>242</v>
      </c>
      <c r="E61" s="1" t="s">
        <v>448</v>
      </c>
    </row>
    <row r="62" spans="1:5">
      <c r="A62" s="1" t="s">
        <v>87</v>
      </c>
      <c r="B62" s="1" t="s">
        <v>297</v>
      </c>
      <c r="C62" s="3">
        <v>47896</v>
      </c>
      <c r="D62" s="1" t="s">
        <v>242</v>
      </c>
      <c r="E62" s="1" t="s">
        <v>448</v>
      </c>
    </row>
    <row r="63" spans="1:5">
      <c r="A63" s="1" t="s">
        <v>298</v>
      </c>
      <c r="B63" s="1" t="s">
        <v>299</v>
      </c>
      <c r="C63" s="3">
        <v>46582</v>
      </c>
      <c r="D63" s="1" t="s">
        <v>242</v>
      </c>
      <c r="E63" s="1" t="s">
        <v>448</v>
      </c>
    </row>
    <row r="64" spans="1:5">
      <c r="A64" s="1" t="s">
        <v>300</v>
      </c>
      <c r="B64" s="1" t="s">
        <v>301</v>
      </c>
      <c r="C64" s="3">
        <v>47273</v>
      </c>
      <c r="D64" s="1" t="s">
        <v>242</v>
      </c>
      <c r="E64" s="1" t="s">
        <v>448</v>
      </c>
    </row>
    <row r="65" spans="1:5">
      <c r="A65" s="1" t="s">
        <v>302</v>
      </c>
      <c r="B65" s="1" t="s">
        <v>303</v>
      </c>
      <c r="C65" s="3">
        <v>47355</v>
      </c>
      <c r="D65" s="1" t="s">
        <v>242</v>
      </c>
      <c r="E65" s="1" t="s">
        <v>447</v>
      </c>
    </row>
    <row r="66" spans="1:5">
      <c r="A66" s="1" t="s">
        <v>304</v>
      </c>
      <c r="B66" s="1" t="s">
        <v>305</v>
      </c>
      <c r="C66" s="3">
        <v>47603</v>
      </c>
      <c r="D66" s="1" t="s">
        <v>242</v>
      </c>
      <c r="E66" s="1" t="s">
        <v>448</v>
      </c>
    </row>
    <row r="67" spans="1:5">
      <c r="A67" s="1" t="s">
        <v>306</v>
      </c>
      <c r="B67" s="1" t="s">
        <v>307</v>
      </c>
      <c r="C67" s="3">
        <v>46720</v>
      </c>
      <c r="D67" s="1" t="s">
        <v>242</v>
      </c>
      <c r="E67" s="1" t="s">
        <v>448</v>
      </c>
    </row>
    <row r="68" spans="1:5">
      <c r="A68" s="1" t="s">
        <v>308</v>
      </c>
      <c r="B68" s="1" t="s">
        <v>309</v>
      </c>
      <c r="C68" s="3">
        <v>46348</v>
      </c>
      <c r="D68" s="1" t="s">
        <v>242</v>
      </c>
      <c r="E68" s="1" t="s">
        <v>448</v>
      </c>
    </row>
    <row r="69" spans="1:5">
      <c r="A69" s="1" t="s">
        <v>310</v>
      </c>
      <c r="B69" s="1" t="s">
        <v>311</v>
      </c>
      <c r="C69" s="3">
        <v>46970</v>
      </c>
      <c r="D69" s="1" t="s">
        <v>242</v>
      </c>
      <c r="E69" s="1" t="s">
        <v>448</v>
      </c>
    </row>
    <row r="70" spans="1:5">
      <c r="A70" s="1" t="s">
        <v>312</v>
      </c>
      <c r="B70" s="1" t="s">
        <v>313</v>
      </c>
      <c r="C70" s="3">
        <v>47302</v>
      </c>
      <c r="D70" s="1" t="s">
        <v>242</v>
      </c>
      <c r="E70" s="1" t="s">
        <v>447</v>
      </c>
    </row>
    <row r="71" spans="1:5">
      <c r="A71" s="1" t="s">
        <v>86</v>
      </c>
      <c r="B71" s="1" t="s">
        <v>315</v>
      </c>
      <c r="C71" s="3">
        <v>46690</v>
      </c>
      <c r="D71" s="1" t="s">
        <v>242</v>
      </c>
      <c r="E71" s="1" t="s">
        <v>448</v>
      </c>
    </row>
    <row r="72" spans="1:5">
      <c r="A72" s="1" t="s">
        <v>316</v>
      </c>
      <c r="B72" s="1" t="s">
        <v>317</v>
      </c>
      <c r="C72" s="3">
        <v>47182</v>
      </c>
      <c r="D72" s="1" t="s">
        <v>242</v>
      </c>
      <c r="E72" s="1" t="s">
        <v>448</v>
      </c>
    </row>
    <row r="73" spans="1:5">
      <c r="A73" s="1" t="s">
        <v>318</v>
      </c>
      <c r="B73" s="1" t="s">
        <v>319</v>
      </c>
      <c r="C73" s="3">
        <v>47632</v>
      </c>
      <c r="D73" s="1" t="s">
        <v>242</v>
      </c>
      <c r="E73" s="1" t="s">
        <v>448</v>
      </c>
    </row>
    <row r="74" spans="1:5">
      <c r="A74" s="1" t="s">
        <v>320</v>
      </c>
      <c r="B74" s="1" t="s">
        <v>321</v>
      </c>
      <c r="C74" s="3">
        <v>46873</v>
      </c>
      <c r="D74" s="1" t="s">
        <v>242</v>
      </c>
      <c r="E74" s="1" t="s">
        <v>448</v>
      </c>
    </row>
    <row r="75" spans="1:5">
      <c r="A75" s="1" t="s">
        <v>322</v>
      </c>
      <c r="B75" s="1" t="s">
        <v>323</v>
      </c>
      <c r="C75" s="3">
        <v>46945</v>
      </c>
      <c r="D75" s="1" t="s">
        <v>242</v>
      </c>
      <c r="E75" s="1" t="s">
        <v>448</v>
      </c>
    </row>
    <row r="76" spans="1:5">
      <c r="A76" s="1" t="s">
        <v>324</v>
      </c>
      <c r="B76" s="1" t="s">
        <v>325</v>
      </c>
      <c r="C76" s="3">
        <v>47072</v>
      </c>
      <c r="D76" s="1" t="s">
        <v>242</v>
      </c>
      <c r="E76" s="1" t="s">
        <v>448</v>
      </c>
    </row>
    <row r="77" spans="1:5">
      <c r="A77" s="1" t="s">
        <v>433</v>
      </c>
      <c r="B77" s="1" t="s">
        <v>434</v>
      </c>
      <c r="C77" s="3">
        <v>47430</v>
      </c>
      <c r="D77" s="1" t="s">
        <v>242</v>
      </c>
      <c r="E77" s="1" t="s">
        <v>448</v>
      </c>
    </row>
    <row r="78" spans="1:5">
      <c r="A78" s="1" t="s">
        <v>435</v>
      </c>
      <c r="B78" s="1" t="s">
        <v>436</v>
      </c>
      <c r="C78" s="3">
        <v>46301</v>
      </c>
      <c r="D78" s="1" t="s">
        <v>242</v>
      </c>
      <c r="E78" s="1" t="s">
        <v>448</v>
      </c>
    </row>
    <row r="79" spans="1:5">
      <c r="A79" s="1" t="s">
        <v>437</v>
      </c>
      <c r="B79" s="1" t="s">
        <v>438</v>
      </c>
      <c r="C79" s="3">
        <v>46445</v>
      </c>
      <c r="D79" s="1" t="s">
        <v>242</v>
      </c>
      <c r="E79" s="1" t="s">
        <v>448</v>
      </c>
    </row>
    <row r="80" spans="1:5">
      <c r="A80" s="1" t="s">
        <v>439</v>
      </c>
      <c r="B80" s="1" t="s">
        <v>440</v>
      </c>
      <c r="C80" s="3">
        <v>46527</v>
      </c>
      <c r="D80" s="1" t="s">
        <v>242</v>
      </c>
      <c r="E80" s="1" t="s">
        <v>448</v>
      </c>
    </row>
    <row r="81" spans="1:5">
      <c r="A81" s="1" t="s">
        <v>441</v>
      </c>
      <c r="B81" s="1" t="s">
        <v>442</v>
      </c>
      <c r="C81" s="3">
        <v>47175</v>
      </c>
      <c r="D81" s="1" t="s">
        <v>242</v>
      </c>
      <c r="E81" s="1" t="s">
        <v>448</v>
      </c>
    </row>
    <row r="82" spans="1:5">
      <c r="A82" s="1" t="s">
        <v>443</v>
      </c>
      <c r="B82" s="1" t="s">
        <v>444</v>
      </c>
      <c r="C82" s="3">
        <v>46436</v>
      </c>
      <c r="D82" s="1" t="s">
        <v>242</v>
      </c>
      <c r="E82" s="1" t="s">
        <v>448</v>
      </c>
    </row>
    <row r="83" spans="1:5">
      <c r="A83" s="1" t="s">
        <v>445</v>
      </c>
      <c r="B83" s="1" t="s">
        <v>446</v>
      </c>
      <c r="C83" s="3">
        <v>46574</v>
      </c>
      <c r="D83" s="1" t="s">
        <v>242</v>
      </c>
      <c r="E83" s="1" t="s">
        <v>448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F1546"/>
  <sheetViews>
    <sheetView workbookViewId="0"/>
  </sheetViews>
  <sheetFormatPr baseColWidth="10" defaultRowHeight="15"/>
  <cols>
    <col min="1" max="1" width="10"/>
    <col min="2" max="6" width="14"/>
  </cols>
  <sheetData>
    <row r="1" spans="1:6">
      <c r="A1" s="2" t="s">
        <v>326</v>
      </c>
      <c r="B1" s="2" t="s">
        <v>327</v>
      </c>
      <c r="C1" s="2" t="s">
        <v>328</v>
      </c>
      <c r="D1" s="2" t="s">
        <v>329</v>
      </c>
      <c r="E1" s="2" t="s">
        <v>330</v>
      </c>
      <c r="F1" s="2" t="s">
        <v>331</v>
      </c>
    </row>
    <row r="2" spans="1:6">
      <c r="A2" s="1" t="s">
        <v>332</v>
      </c>
      <c r="B2" s="3">
        <v>45757</v>
      </c>
      <c r="C2" s="1">
        <v>100</v>
      </c>
      <c r="D2" s="1">
        <v>3.875</v>
      </c>
      <c r="E2" s="1">
        <v>0</v>
      </c>
      <c r="F2" s="1">
        <v>3.875</v>
      </c>
    </row>
    <row r="3" spans="1:6">
      <c r="A3" s="1" t="s">
        <v>332</v>
      </c>
      <c r="B3" s="3">
        <v>45943</v>
      </c>
      <c r="C3" s="1">
        <v>100</v>
      </c>
      <c r="D3" s="1">
        <v>3.875</v>
      </c>
      <c r="E3" s="1">
        <v>0</v>
      </c>
      <c r="F3" s="1">
        <v>3.875</v>
      </c>
    </row>
    <row r="4" spans="1:6">
      <c r="A4" s="1" t="s">
        <v>332</v>
      </c>
      <c r="B4" s="3">
        <v>46122</v>
      </c>
      <c r="C4" s="1">
        <v>100</v>
      </c>
      <c r="D4" s="1">
        <v>3.875</v>
      </c>
      <c r="E4" s="1">
        <v>0</v>
      </c>
      <c r="F4" s="1">
        <v>3.875</v>
      </c>
    </row>
    <row r="5" spans="1:6">
      <c r="A5" s="1" t="s">
        <v>332</v>
      </c>
      <c r="B5" s="3">
        <v>46308</v>
      </c>
      <c r="C5" s="1">
        <v>100</v>
      </c>
      <c r="D5" s="1">
        <v>3.875</v>
      </c>
      <c r="E5" s="1">
        <v>0</v>
      </c>
      <c r="F5" s="1">
        <v>3.875</v>
      </c>
    </row>
    <row r="6" spans="1:6">
      <c r="A6" s="1" t="s">
        <v>332</v>
      </c>
      <c r="B6" s="3">
        <v>46489</v>
      </c>
      <c r="C6" s="1">
        <v>100</v>
      </c>
      <c r="D6" s="1">
        <v>3.875</v>
      </c>
      <c r="E6" s="1">
        <v>0</v>
      </c>
      <c r="F6" s="1">
        <v>3.875</v>
      </c>
    </row>
    <row r="7" spans="1:6">
      <c r="A7" s="1" t="s">
        <v>332</v>
      </c>
      <c r="B7" s="3">
        <v>46671</v>
      </c>
      <c r="C7" s="1">
        <v>100</v>
      </c>
      <c r="D7" s="1">
        <v>3.875</v>
      </c>
      <c r="E7" s="1">
        <v>0</v>
      </c>
      <c r="F7" s="1">
        <v>3.875</v>
      </c>
    </row>
    <row r="8" spans="1:6">
      <c r="A8" s="1" t="s">
        <v>332</v>
      </c>
      <c r="B8" s="3">
        <v>46853</v>
      </c>
      <c r="C8" s="1">
        <v>100</v>
      </c>
      <c r="D8" s="1">
        <v>3.875</v>
      </c>
      <c r="E8" s="1">
        <v>0</v>
      </c>
      <c r="F8" s="1">
        <v>3.875</v>
      </c>
    </row>
    <row r="9" spans="1:6">
      <c r="A9" s="1" t="s">
        <v>332</v>
      </c>
      <c r="B9" s="3">
        <v>47036</v>
      </c>
      <c r="C9" s="1">
        <v>0</v>
      </c>
      <c r="D9" s="1">
        <v>3.875</v>
      </c>
      <c r="E9" s="1">
        <v>100</v>
      </c>
      <c r="F9" s="1">
        <v>103.875</v>
      </c>
    </row>
    <row r="10" spans="1:6">
      <c r="A10" s="1" t="s">
        <v>333</v>
      </c>
      <c r="B10" s="3">
        <v>46231</v>
      </c>
      <c r="C10" s="1">
        <v>100</v>
      </c>
      <c r="D10" s="1">
        <v>4</v>
      </c>
      <c r="E10" s="1">
        <v>0</v>
      </c>
      <c r="F10" s="1">
        <v>4</v>
      </c>
    </row>
    <row r="11" spans="1:6">
      <c r="A11" s="1" t="s">
        <v>333</v>
      </c>
      <c r="B11" s="3">
        <v>46415</v>
      </c>
      <c r="C11" s="1">
        <v>100</v>
      </c>
      <c r="D11" s="1">
        <v>4</v>
      </c>
      <c r="E11" s="1">
        <v>0</v>
      </c>
      <c r="F11" s="1">
        <v>4</v>
      </c>
    </row>
    <row r="12" spans="1:6">
      <c r="A12" s="1" t="s">
        <v>333</v>
      </c>
      <c r="B12" s="3">
        <v>46596</v>
      </c>
      <c r="C12" s="1">
        <v>100</v>
      </c>
      <c r="D12" s="1">
        <v>4</v>
      </c>
      <c r="E12" s="1">
        <v>0</v>
      </c>
      <c r="F12" s="1">
        <v>4</v>
      </c>
    </row>
    <row r="13" spans="1:6">
      <c r="A13" s="1" t="s">
        <v>333</v>
      </c>
      <c r="B13" s="3">
        <v>46780</v>
      </c>
      <c r="C13" s="1">
        <v>100</v>
      </c>
      <c r="D13" s="1">
        <v>4</v>
      </c>
      <c r="E13" s="1">
        <v>0</v>
      </c>
      <c r="F13" s="1">
        <v>4</v>
      </c>
    </row>
    <row r="14" spans="1:6">
      <c r="A14" s="1" t="s">
        <v>333</v>
      </c>
      <c r="B14" s="3">
        <v>46962</v>
      </c>
      <c r="C14" s="1">
        <v>100</v>
      </c>
      <c r="D14" s="1">
        <v>4</v>
      </c>
      <c r="E14" s="1">
        <v>0</v>
      </c>
      <c r="F14" s="1">
        <v>4</v>
      </c>
    </row>
    <row r="15" spans="1:6">
      <c r="A15" s="1" t="s">
        <v>333</v>
      </c>
      <c r="B15" s="3">
        <v>47147</v>
      </c>
      <c r="C15" s="1">
        <v>100</v>
      </c>
      <c r="D15" s="1">
        <v>4</v>
      </c>
      <c r="E15" s="1">
        <v>0</v>
      </c>
      <c r="F15" s="1">
        <v>4</v>
      </c>
    </row>
    <row r="16" spans="1:6">
      <c r="A16" s="1" t="s">
        <v>333</v>
      </c>
      <c r="B16" s="3">
        <v>47329</v>
      </c>
      <c r="C16" s="1">
        <v>100</v>
      </c>
      <c r="D16" s="1">
        <v>4</v>
      </c>
      <c r="E16" s="1">
        <v>0</v>
      </c>
      <c r="F16" s="1">
        <v>4</v>
      </c>
    </row>
    <row r="17" spans="1:6">
      <c r="A17" s="1" t="s">
        <v>333</v>
      </c>
      <c r="B17" s="3">
        <v>47511</v>
      </c>
      <c r="C17" s="1">
        <v>100</v>
      </c>
      <c r="D17" s="1">
        <v>4</v>
      </c>
      <c r="E17" s="1">
        <v>0</v>
      </c>
      <c r="F17" s="1">
        <v>4</v>
      </c>
    </row>
    <row r="18" spans="1:6">
      <c r="A18" s="1" t="s">
        <v>333</v>
      </c>
      <c r="B18" s="3">
        <v>47693</v>
      </c>
      <c r="C18" s="1">
        <v>100</v>
      </c>
      <c r="D18" s="1">
        <v>4</v>
      </c>
      <c r="E18" s="1">
        <v>0</v>
      </c>
      <c r="F18" s="1">
        <v>4</v>
      </c>
    </row>
    <row r="19" spans="1:6">
      <c r="A19" s="1" t="s">
        <v>333</v>
      </c>
      <c r="B19" s="3">
        <v>47876</v>
      </c>
      <c r="C19" s="1">
        <v>0</v>
      </c>
      <c r="D19" s="1">
        <v>4</v>
      </c>
      <c r="E19" s="1">
        <v>100</v>
      </c>
      <c r="F19" s="1">
        <v>104</v>
      </c>
    </row>
    <row r="20" spans="1:6">
      <c r="A20" s="1" t="s">
        <v>334</v>
      </c>
      <c r="B20" s="3">
        <v>46170</v>
      </c>
      <c r="C20" s="1">
        <v>100</v>
      </c>
      <c r="D20" s="1">
        <v>5.9375</v>
      </c>
      <c r="E20" s="1">
        <v>0</v>
      </c>
      <c r="F20" s="1">
        <v>5.9375</v>
      </c>
    </row>
    <row r="21" spans="1:6">
      <c r="A21" s="1" t="s">
        <v>334</v>
      </c>
      <c r="B21" s="3">
        <v>46356</v>
      </c>
      <c r="C21" s="1">
        <v>100</v>
      </c>
      <c r="D21" s="1">
        <v>5.9375</v>
      </c>
      <c r="E21" s="1">
        <v>0</v>
      </c>
      <c r="F21" s="1">
        <v>5.9375</v>
      </c>
    </row>
    <row r="22" spans="1:6">
      <c r="A22" s="1" t="s">
        <v>334</v>
      </c>
      <c r="B22" s="3">
        <v>46535</v>
      </c>
      <c r="C22" s="1">
        <v>100</v>
      </c>
      <c r="D22" s="1">
        <v>5.9375</v>
      </c>
      <c r="E22" s="1">
        <v>0</v>
      </c>
      <c r="F22" s="1">
        <v>5.9375</v>
      </c>
    </row>
    <row r="23" spans="1:6">
      <c r="A23" s="1" t="s">
        <v>334</v>
      </c>
      <c r="B23" s="3">
        <v>46720</v>
      </c>
      <c r="C23" s="1">
        <v>100</v>
      </c>
      <c r="D23" s="1">
        <v>5.9375</v>
      </c>
      <c r="E23" s="1">
        <v>0</v>
      </c>
      <c r="F23" s="1">
        <v>5.9375</v>
      </c>
    </row>
    <row r="24" spans="1:6">
      <c r="A24" s="1" t="s">
        <v>334</v>
      </c>
      <c r="B24" s="3">
        <v>46902</v>
      </c>
      <c r="C24" s="1">
        <v>100</v>
      </c>
      <c r="D24" s="1">
        <v>5.9375</v>
      </c>
      <c r="E24" s="1">
        <v>0</v>
      </c>
      <c r="F24" s="1">
        <v>5.9375</v>
      </c>
    </row>
    <row r="25" spans="1:6">
      <c r="A25" s="1" t="s">
        <v>334</v>
      </c>
      <c r="B25" s="3">
        <v>47085</v>
      </c>
      <c r="C25" s="1">
        <v>100</v>
      </c>
      <c r="D25" s="1">
        <v>5.9375</v>
      </c>
      <c r="E25" s="1">
        <v>0</v>
      </c>
      <c r="F25" s="1">
        <v>5.9375</v>
      </c>
    </row>
    <row r="26" spans="1:6">
      <c r="A26" s="1" t="s">
        <v>334</v>
      </c>
      <c r="B26" s="3">
        <v>47266</v>
      </c>
      <c r="C26" s="1">
        <v>100</v>
      </c>
      <c r="D26" s="1">
        <v>5.9375</v>
      </c>
      <c r="E26" s="1">
        <v>0</v>
      </c>
      <c r="F26" s="1">
        <v>5.9375</v>
      </c>
    </row>
    <row r="27" spans="1:6">
      <c r="A27" s="1" t="s">
        <v>334</v>
      </c>
      <c r="B27" s="3">
        <v>47450</v>
      </c>
      <c r="C27" s="1">
        <v>100</v>
      </c>
      <c r="D27" s="1">
        <v>5.9375</v>
      </c>
      <c r="E27" s="1">
        <v>0</v>
      </c>
      <c r="F27" s="1">
        <v>5.9375</v>
      </c>
    </row>
    <row r="28" spans="1:6">
      <c r="A28" s="1" t="s">
        <v>334</v>
      </c>
      <c r="B28" s="3">
        <v>47631</v>
      </c>
      <c r="C28" s="1">
        <v>100</v>
      </c>
      <c r="D28" s="1">
        <v>5.9375</v>
      </c>
      <c r="E28" s="1">
        <v>0</v>
      </c>
      <c r="F28" s="1">
        <v>5.9375</v>
      </c>
    </row>
    <row r="29" spans="1:6">
      <c r="A29" s="1" t="s">
        <v>334</v>
      </c>
      <c r="B29" s="3">
        <v>47815</v>
      </c>
      <c r="C29" s="1">
        <v>0</v>
      </c>
      <c r="D29" s="1">
        <v>5.9375</v>
      </c>
      <c r="E29" s="1">
        <v>100</v>
      </c>
      <c r="F29" s="1">
        <v>105.9375</v>
      </c>
    </row>
    <row r="30" spans="1:6">
      <c r="A30" s="1" t="s">
        <v>335</v>
      </c>
      <c r="B30" s="3">
        <v>45771</v>
      </c>
      <c r="C30" s="1">
        <v>100</v>
      </c>
      <c r="D30" s="1">
        <v>4.875</v>
      </c>
      <c r="E30" s="1">
        <v>0</v>
      </c>
      <c r="F30" s="1">
        <v>4.875</v>
      </c>
    </row>
    <row r="31" spans="1:6">
      <c r="A31" s="1" t="s">
        <v>335</v>
      </c>
      <c r="B31" s="3">
        <v>45954</v>
      </c>
      <c r="C31" s="1">
        <v>100</v>
      </c>
      <c r="D31" s="1">
        <v>4.875</v>
      </c>
      <c r="E31" s="1">
        <v>0</v>
      </c>
      <c r="F31" s="1">
        <v>4.875</v>
      </c>
    </row>
    <row r="32" spans="1:6">
      <c r="A32" s="1" t="s">
        <v>335</v>
      </c>
      <c r="B32" s="3">
        <v>46136</v>
      </c>
      <c r="C32" s="1">
        <v>100</v>
      </c>
      <c r="D32" s="1">
        <v>4.875</v>
      </c>
      <c r="E32" s="1">
        <v>0</v>
      </c>
      <c r="F32" s="1">
        <v>4.875</v>
      </c>
    </row>
    <row r="33" spans="1:6">
      <c r="A33" s="1" t="s">
        <v>335</v>
      </c>
      <c r="B33" s="3">
        <v>46321</v>
      </c>
      <c r="C33" s="1">
        <v>100</v>
      </c>
      <c r="D33" s="1">
        <v>4.875</v>
      </c>
      <c r="E33" s="1">
        <v>0</v>
      </c>
      <c r="F33" s="1">
        <v>4.875</v>
      </c>
    </row>
    <row r="34" spans="1:6">
      <c r="A34" s="1" t="s">
        <v>335</v>
      </c>
      <c r="B34" s="3">
        <v>46503</v>
      </c>
      <c r="C34" s="1">
        <v>100</v>
      </c>
      <c r="D34" s="1">
        <v>4.875</v>
      </c>
      <c r="E34" s="1">
        <v>0</v>
      </c>
      <c r="F34" s="1">
        <v>4.875</v>
      </c>
    </row>
    <row r="35" spans="1:6">
      <c r="A35" s="1" t="s">
        <v>335</v>
      </c>
      <c r="B35" s="3">
        <v>46685</v>
      </c>
      <c r="C35" s="1">
        <v>100</v>
      </c>
      <c r="D35" s="1">
        <v>4.875</v>
      </c>
      <c r="E35" s="1">
        <v>0</v>
      </c>
      <c r="F35" s="1">
        <v>4.875</v>
      </c>
    </row>
    <row r="36" spans="1:6">
      <c r="A36" s="1" t="s">
        <v>335</v>
      </c>
      <c r="B36" s="3">
        <v>46867</v>
      </c>
      <c r="C36" s="1">
        <v>100</v>
      </c>
      <c r="D36" s="1">
        <v>4.875</v>
      </c>
      <c r="E36" s="1">
        <v>0</v>
      </c>
      <c r="F36" s="1">
        <v>4.875</v>
      </c>
    </row>
    <row r="37" spans="1:6">
      <c r="A37" s="1" t="s">
        <v>335</v>
      </c>
      <c r="B37" s="3">
        <v>47050</v>
      </c>
      <c r="C37" s="1">
        <v>66.67</v>
      </c>
      <c r="D37" s="1">
        <v>4.875</v>
      </c>
      <c r="E37" s="1">
        <v>33.33</v>
      </c>
      <c r="F37" s="1">
        <v>38.205</v>
      </c>
    </row>
    <row r="38" spans="1:6">
      <c r="A38" s="1" t="s">
        <v>335</v>
      </c>
      <c r="B38" s="3">
        <v>47232</v>
      </c>
      <c r="C38" s="1">
        <v>66.67</v>
      </c>
      <c r="D38" s="1">
        <v>3.250163</v>
      </c>
      <c r="E38" s="1">
        <v>0</v>
      </c>
      <c r="F38" s="1">
        <v>3.250163</v>
      </c>
    </row>
    <row r="39" spans="1:6">
      <c r="A39" s="1" t="s">
        <v>335</v>
      </c>
      <c r="B39" s="3">
        <v>47415</v>
      </c>
      <c r="C39" s="1">
        <v>33.34</v>
      </c>
      <c r="D39" s="1">
        <v>3.250163</v>
      </c>
      <c r="E39" s="1">
        <v>33.33</v>
      </c>
      <c r="F39" s="1">
        <v>36.580163</v>
      </c>
    </row>
    <row r="40" spans="1:6">
      <c r="A40" s="1" t="s">
        <v>335</v>
      </c>
      <c r="B40" s="3">
        <v>47597</v>
      </c>
      <c r="C40" s="1">
        <v>33.34</v>
      </c>
      <c r="D40" s="1">
        <v>1.625325</v>
      </c>
      <c r="E40" s="1">
        <v>0</v>
      </c>
      <c r="F40" s="1">
        <v>1.625325</v>
      </c>
    </row>
    <row r="41" spans="1:6">
      <c r="A41" s="1" t="s">
        <v>335</v>
      </c>
      <c r="B41" s="3">
        <v>47780</v>
      </c>
      <c r="C41" s="1">
        <v>0</v>
      </c>
      <c r="D41" s="1">
        <v>1.625325</v>
      </c>
      <c r="E41" s="1">
        <v>33.34</v>
      </c>
      <c r="F41" s="1">
        <v>34.965325</v>
      </c>
    </row>
    <row r="42" spans="1:6">
      <c r="A42" s="1" t="s">
        <v>336</v>
      </c>
      <c r="B42" s="3">
        <v>46323</v>
      </c>
      <c r="C42" s="1">
        <v>100</v>
      </c>
      <c r="D42" s="1">
        <v>4.75</v>
      </c>
      <c r="E42" s="1">
        <v>0</v>
      </c>
      <c r="F42" s="1">
        <v>4.75</v>
      </c>
    </row>
    <row r="43" spans="1:6">
      <c r="A43" s="1" t="s">
        <v>336</v>
      </c>
      <c r="B43" s="3">
        <v>46505</v>
      </c>
      <c r="C43" s="1">
        <v>100</v>
      </c>
      <c r="D43" s="1">
        <v>4.75</v>
      </c>
      <c r="E43" s="1">
        <v>0</v>
      </c>
      <c r="F43" s="1">
        <v>4.75</v>
      </c>
    </row>
    <row r="44" spans="1:6">
      <c r="A44" s="1" t="s">
        <v>336</v>
      </c>
      <c r="B44" s="3">
        <v>46688</v>
      </c>
      <c r="C44" s="1">
        <v>100</v>
      </c>
      <c r="D44" s="1">
        <v>4.75</v>
      </c>
      <c r="E44" s="1">
        <v>0</v>
      </c>
      <c r="F44" s="1">
        <v>4.75</v>
      </c>
    </row>
    <row r="45" spans="1:6">
      <c r="A45" s="1" t="s">
        <v>336</v>
      </c>
      <c r="B45" s="3">
        <v>46871</v>
      </c>
      <c r="C45" s="1">
        <v>100</v>
      </c>
      <c r="D45" s="1">
        <v>4.75</v>
      </c>
      <c r="E45" s="1">
        <v>0</v>
      </c>
      <c r="F45" s="1">
        <v>4.75</v>
      </c>
    </row>
    <row r="46" spans="1:6">
      <c r="A46" s="1" t="s">
        <v>336</v>
      </c>
      <c r="B46" s="3">
        <v>47056</v>
      </c>
      <c r="C46" s="1">
        <v>100</v>
      </c>
      <c r="D46" s="1">
        <v>4.75</v>
      </c>
      <c r="E46" s="1">
        <v>0</v>
      </c>
      <c r="F46" s="1">
        <v>4.75</v>
      </c>
    </row>
    <row r="47" spans="1:6">
      <c r="A47" s="1" t="s">
        <v>336</v>
      </c>
      <c r="B47" s="3">
        <v>47238</v>
      </c>
      <c r="C47" s="1">
        <v>100</v>
      </c>
      <c r="D47" s="1">
        <v>4.75</v>
      </c>
      <c r="E47" s="1">
        <v>0</v>
      </c>
      <c r="F47" s="1">
        <v>4.75</v>
      </c>
    </row>
    <row r="48" spans="1:6">
      <c r="A48" s="1" t="s">
        <v>336</v>
      </c>
      <c r="B48" s="3">
        <v>47420</v>
      </c>
      <c r="C48" s="1">
        <v>100</v>
      </c>
      <c r="D48" s="1">
        <v>4.75</v>
      </c>
      <c r="E48" s="1">
        <v>0</v>
      </c>
      <c r="F48" s="1">
        <v>4.75</v>
      </c>
    </row>
    <row r="49" spans="1:6">
      <c r="A49" s="1" t="s">
        <v>336</v>
      </c>
      <c r="B49" s="3">
        <v>47602</v>
      </c>
      <c r="C49" s="1">
        <v>100</v>
      </c>
      <c r="D49" s="1">
        <v>4.75</v>
      </c>
      <c r="E49" s="1">
        <v>0</v>
      </c>
      <c r="F49" s="1">
        <v>4.75</v>
      </c>
    </row>
    <row r="50" spans="1:6">
      <c r="A50" s="1" t="s">
        <v>336</v>
      </c>
      <c r="B50" s="3">
        <v>47784</v>
      </c>
      <c r="C50" s="1">
        <v>100</v>
      </c>
      <c r="D50" s="1">
        <v>4.75</v>
      </c>
      <c r="E50" s="1">
        <v>0</v>
      </c>
      <c r="F50" s="1">
        <v>4.75</v>
      </c>
    </row>
    <row r="51" spans="1:6">
      <c r="A51" s="1" t="s">
        <v>336</v>
      </c>
      <c r="B51" s="3">
        <v>47966</v>
      </c>
      <c r="C51" s="1">
        <v>66.67</v>
      </c>
      <c r="D51" s="1">
        <v>4.75</v>
      </c>
      <c r="E51" s="1">
        <v>33.33</v>
      </c>
      <c r="F51" s="1">
        <v>38.08</v>
      </c>
    </row>
    <row r="52" spans="1:6">
      <c r="A52" s="1" t="s">
        <v>336</v>
      </c>
      <c r="B52" s="3">
        <v>48149</v>
      </c>
      <c r="C52" s="1">
        <v>66.67</v>
      </c>
      <c r="D52" s="1">
        <v>3.166825</v>
      </c>
      <c r="E52" s="1">
        <v>0</v>
      </c>
      <c r="F52" s="1">
        <v>3.166825</v>
      </c>
    </row>
    <row r="53" spans="1:6">
      <c r="A53" s="1" t="s">
        <v>336</v>
      </c>
      <c r="B53" s="3">
        <v>48332</v>
      </c>
      <c r="C53" s="1">
        <v>33.34</v>
      </c>
      <c r="D53" s="1">
        <v>3.166825</v>
      </c>
      <c r="E53" s="1">
        <v>33.33</v>
      </c>
      <c r="F53" s="1">
        <v>36.496825</v>
      </c>
    </row>
    <row r="54" spans="1:6">
      <c r="A54" s="1" t="s">
        <v>336</v>
      </c>
      <c r="B54" s="3">
        <v>48515</v>
      </c>
      <c r="C54" s="1">
        <v>33.34</v>
      </c>
      <c r="D54" s="1">
        <v>1.58365</v>
      </c>
      <c r="E54" s="1">
        <v>0</v>
      </c>
      <c r="F54" s="1">
        <v>1.58365</v>
      </c>
    </row>
    <row r="55" spans="1:6">
      <c r="A55" s="1" t="s">
        <v>336</v>
      </c>
      <c r="B55" s="3">
        <v>48697</v>
      </c>
      <c r="C55" s="1">
        <v>0</v>
      </c>
      <c r="D55" s="1">
        <v>1.58365</v>
      </c>
      <c r="E55" s="1">
        <v>33.34</v>
      </c>
      <c r="F55" s="1">
        <v>34.92365</v>
      </c>
    </row>
    <row r="56" spans="1:6">
      <c r="A56" s="1" t="s">
        <v>337</v>
      </c>
      <c r="B56" s="3">
        <v>46391</v>
      </c>
      <c r="C56" s="1">
        <v>97</v>
      </c>
      <c r="D56" s="1">
        <v>4.270833</v>
      </c>
      <c r="E56" s="1">
        <v>3</v>
      </c>
      <c r="F56" s="1">
        <v>7.270833</v>
      </c>
    </row>
    <row r="57" spans="1:6">
      <c r="A57" s="1" t="s">
        <v>337</v>
      </c>
      <c r="B57" s="3">
        <v>46568</v>
      </c>
      <c r="C57" s="1">
        <v>94</v>
      </c>
      <c r="D57" s="1">
        <v>3.6375</v>
      </c>
      <c r="E57" s="1">
        <v>3</v>
      </c>
      <c r="F57" s="1">
        <v>6.6375</v>
      </c>
    </row>
    <row r="58" spans="1:6">
      <c r="A58" s="1" t="s">
        <v>337</v>
      </c>
      <c r="B58" s="3">
        <v>46752</v>
      </c>
      <c r="C58" s="1">
        <v>89</v>
      </c>
      <c r="D58" s="1">
        <v>3.525</v>
      </c>
      <c r="E58" s="1">
        <v>5</v>
      </c>
      <c r="F58" s="1">
        <v>8.525</v>
      </c>
    </row>
    <row r="59" spans="1:6">
      <c r="A59" s="1" t="s">
        <v>337</v>
      </c>
      <c r="B59" s="3">
        <v>46934</v>
      </c>
      <c r="C59" s="1">
        <v>83</v>
      </c>
      <c r="D59" s="1">
        <v>3.3375</v>
      </c>
      <c r="E59" s="1">
        <v>6</v>
      </c>
      <c r="F59" s="1">
        <v>9.3375</v>
      </c>
    </row>
    <row r="60" spans="1:6">
      <c r="A60" s="1" t="s">
        <v>337</v>
      </c>
      <c r="B60" s="3">
        <v>47120</v>
      </c>
      <c r="C60" s="1">
        <v>77</v>
      </c>
      <c r="D60" s="1">
        <v>3.32</v>
      </c>
      <c r="E60" s="1">
        <v>6</v>
      </c>
      <c r="F60" s="1">
        <v>9.32</v>
      </c>
    </row>
    <row r="61" spans="1:6">
      <c r="A61" s="1" t="s">
        <v>337</v>
      </c>
      <c r="B61" s="3">
        <v>47301</v>
      </c>
      <c r="C61" s="1">
        <v>71</v>
      </c>
      <c r="D61" s="1">
        <v>3.08</v>
      </c>
      <c r="E61" s="1">
        <v>6</v>
      </c>
      <c r="F61" s="1">
        <v>9.08</v>
      </c>
    </row>
    <row r="62" spans="1:6">
      <c r="A62" s="1" t="s">
        <v>337</v>
      </c>
      <c r="B62" s="3">
        <v>47483</v>
      </c>
      <c r="C62" s="1">
        <v>65</v>
      </c>
      <c r="D62" s="1">
        <v>2.84</v>
      </c>
      <c r="E62" s="1">
        <v>6</v>
      </c>
      <c r="F62" s="1">
        <v>8.84</v>
      </c>
    </row>
    <row r="63" spans="1:6">
      <c r="A63" s="1" t="s">
        <v>337</v>
      </c>
      <c r="B63" s="3">
        <v>47665</v>
      </c>
      <c r="C63" s="1">
        <v>59</v>
      </c>
      <c r="D63" s="1">
        <v>2.6</v>
      </c>
      <c r="E63" s="1">
        <v>6</v>
      </c>
      <c r="F63" s="1">
        <v>8.6</v>
      </c>
    </row>
    <row r="64" spans="1:6">
      <c r="A64" s="1" t="s">
        <v>337</v>
      </c>
      <c r="B64" s="3">
        <v>47848</v>
      </c>
      <c r="C64" s="1">
        <v>53</v>
      </c>
      <c r="D64" s="1">
        <v>2.655</v>
      </c>
      <c r="E64" s="1">
        <v>6</v>
      </c>
      <c r="F64" s="1">
        <v>8.655</v>
      </c>
    </row>
    <row r="65" spans="1:6">
      <c r="A65" s="1" t="s">
        <v>337</v>
      </c>
      <c r="B65" s="3">
        <v>48029</v>
      </c>
      <c r="C65" s="1">
        <v>47</v>
      </c>
      <c r="D65" s="1">
        <v>2.385</v>
      </c>
      <c r="E65" s="1">
        <v>6</v>
      </c>
      <c r="F65" s="1">
        <v>8.385</v>
      </c>
    </row>
    <row r="66" spans="1:6">
      <c r="A66" s="1" t="s">
        <v>337</v>
      </c>
      <c r="B66" s="3">
        <v>48213</v>
      </c>
      <c r="C66" s="1">
        <v>41</v>
      </c>
      <c r="D66" s="1">
        <v>2.115</v>
      </c>
      <c r="E66" s="1">
        <v>6</v>
      </c>
      <c r="F66" s="1">
        <v>8.115</v>
      </c>
    </row>
    <row r="67" spans="1:6">
      <c r="A67" s="1" t="s">
        <v>337</v>
      </c>
      <c r="B67" s="3">
        <v>48395</v>
      </c>
      <c r="C67" s="1">
        <v>35</v>
      </c>
      <c r="D67" s="1">
        <v>1.845</v>
      </c>
      <c r="E67" s="1">
        <v>6</v>
      </c>
      <c r="F67" s="1">
        <v>7.845</v>
      </c>
    </row>
    <row r="68" spans="1:6">
      <c r="A68" s="1" t="s">
        <v>337</v>
      </c>
      <c r="B68" s="3">
        <v>48579</v>
      </c>
      <c r="C68" s="1">
        <v>29</v>
      </c>
      <c r="D68" s="1">
        <v>1.575</v>
      </c>
      <c r="E68" s="1">
        <v>6</v>
      </c>
      <c r="F68" s="1">
        <v>7.575</v>
      </c>
    </row>
    <row r="69" spans="1:6">
      <c r="A69" s="1" t="s">
        <v>337</v>
      </c>
      <c r="B69" s="3">
        <v>48760</v>
      </c>
      <c r="C69" s="1">
        <v>22</v>
      </c>
      <c r="D69" s="1">
        <v>1.305</v>
      </c>
      <c r="E69" s="1">
        <v>7</v>
      </c>
      <c r="F69" s="1">
        <v>8.305</v>
      </c>
    </row>
    <row r="70" spans="1:6">
      <c r="A70" s="1" t="s">
        <v>337</v>
      </c>
      <c r="B70" s="3">
        <v>48946</v>
      </c>
      <c r="C70" s="1">
        <v>15</v>
      </c>
      <c r="D70" s="1">
        <v>0.99</v>
      </c>
      <c r="E70" s="1">
        <v>7</v>
      </c>
      <c r="F70" s="1">
        <v>7.99</v>
      </c>
    </row>
    <row r="71" spans="1:6">
      <c r="A71" s="1" t="s">
        <v>337</v>
      </c>
      <c r="B71" s="3">
        <v>49125</v>
      </c>
      <c r="C71" s="1">
        <v>7.5</v>
      </c>
      <c r="D71" s="1">
        <v>0.675</v>
      </c>
      <c r="E71" s="1">
        <v>7.5</v>
      </c>
      <c r="F71" s="1">
        <v>8.175</v>
      </c>
    </row>
    <row r="72" spans="1:6">
      <c r="A72" s="1" t="s">
        <v>337</v>
      </c>
      <c r="B72" s="3">
        <v>49311</v>
      </c>
      <c r="C72" s="1">
        <v>0</v>
      </c>
      <c r="D72" s="1">
        <v>0.3375</v>
      </c>
      <c r="E72" s="1">
        <v>7.5</v>
      </c>
      <c r="F72" s="1">
        <v>7.8375</v>
      </c>
    </row>
    <row r="73" spans="1:6">
      <c r="A73" s="1" t="s">
        <v>338</v>
      </c>
      <c r="B73" s="3">
        <v>44917</v>
      </c>
      <c r="C73" s="1">
        <v>100</v>
      </c>
      <c r="D73" s="1">
        <v>3.986111</v>
      </c>
      <c r="E73" s="1">
        <v>0</v>
      </c>
      <c r="F73" s="1">
        <v>3.986111</v>
      </c>
    </row>
    <row r="74" spans="1:6">
      <c r="A74" s="1" t="s">
        <v>338</v>
      </c>
      <c r="B74" s="3">
        <v>45099</v>
      </c>
      <c r="C74" s="1">
        <v>100</v>
      </c>
      <c r="D74" s="1">
        <v>4.375</v>
      </c>
      <c r="E74" s="1">
        <v>0</v>
      </c>
      <c r="F74" s="1">
        <v>4.375</v>
      </c>
    </row>
    <row r="75" spans="1:6">
      <c r="A75" s="1" t="s">
        <v>338</v>
      </c>
      <c r="B75" s="3">
        <v>45282</v>
      </c>
      <c r="C75" s="1">
        <v>100</v>
      </c>
      <c r="D75" s="1">
        <v>4.375</v>
      </c>
      <c r="E75" s="1">
        <v>0</v>
      </c>
      <c r="F75" s="1">
        <v>4.375</v>
      </c>
    </row>
    <row r="76" spans="1:6">
      <c r="A76" s="1" t="s">
        <v>338</v>
      </c>
      <c r="B76" s="3">
        <v>45467</v>
      </c>
      <c r="C76" s="1">
        <v>82.5</v>
      </c>
      <c r="D76" s="1">
        <v>4.375</v>
      </c>
      <c r="E76" s="1">
        <v>17.5</v>
      </c>
      <c r="F76" s="1">
        <v>21.875</v>
      </c>
    </row>
    <row r="77" spans="1:6">
      <c r="A77" s="1" t="s">
        <v>338</v>
      </c>
      <c r="B77" s="3">
        <v>45649</v>
      </c>
      <c r="C77" s="1">
        <v>82.5</v>
      </c>
      <c r="D77" s="1">
        <v>3.609375</v>
      </c>
      <c r="E77" s="1">
        <v>0</v>
      </c>
      <c r="F77" s="1">
        <v>3.609375</v>
      </c>
    </row>
    <row r="78" spans="1:6">
      <c r="A78" s="1" t="s">
        <v>338</v>
      </c>
      <c r="B78" s="3">
        <v>45831</v>
      </c>
      <c r="C78" s="1">
        <v>65</v>
      </c>
      <c r="D78" s="1">
        <v>3.609375</v>
      </c>
      <c r="E78" s="1">
        <v>17.5</v>
      </c>
      <c r="F78" s="1">
        <v>21.109375</v>
      </c>
    </row>
    <row r="79" spans="1:6">
      <c r="A79" s="1" t="s">
        <v>338</v>
      </c>
      <c r="B79" s="3">
        <v>46013</v>
      </c>
      <c r="C79" s="1">
        <v>65</v>
      </c>
      <c r="D79" s="1">
        <v>2.84375</v>
      </c>
      <c r="E79" s="1">
        <v>0</v>
      </c>
      <c r="F79" s="1">
        <v>2.84375</v>
      </c>
    </row>
    <row r="80" spans="1:6">
      <c r="A80" s="1" t="s">
        <v>338</v>
      </c>
      <c r="B80" s="3">
        <v>46195</v>
      </c>
      <c r="C80" s="1">
        <v>47.5</v>
      </c>
      <c r="D80" s="1">
        <v>2.84375</v>
      </c>
      <c r="E80" s="1">
        <v>17.5</v>
      </c>
      <c r="F80" s="1">
        <v>20.34375</v>
      </c>
    </row>
    <row r="81" spans="1:6">
      <c r="A81" s="1" t="s">
        <v>338</v>
      </c>
      <c r="B81" s="3">
        <v>46378</v>
      </c>
      <c r="C81" s="1">
        <v>47.5</v>
      </c>
      <c r="D81" s="1">
        <v>2.078125</v>
      </c>
      <c r="E81" s="1">
        <v>0</v>
      </c>
      <c r="F81" s="1">
        <v>2.078125</v>
      </c>
    </row>
    <row r="82" spans="1:6">
      <c r="A82" s="1" t="s">
        <v>338</v>
      </c>
      <c r="B82" s="3">
        <v>46560</v>
      </c>
      <c r="C82" s="1">
        <v>30</v>
      </c>
      <c r="D82" s="1">
        <v>2.078125</v>
      </c>
      <c r="E82" s="1">
        <v>17.5</v>
      </c>
      <c r="F82" s="1">
        <v>19.578125</v>
      </c>
    </row>
    <row r="83" spans="1:6">
      <c r="A83" s="1" t="s">
        <v>338</v>
      </c>
      <c r="B83" s="3">
        <v>46743</v>
      </c>
      <c r="C83" s="1">
        <v>30</v>
      </c>
      <c r="D83" s="1">
        <v>1.3125</v>
      </c>
      <c r="E83" s="1">
        <v>0</v>
      </c>
      <c r="F83" s="1">
        <v>1.3125</v>
      </c>
    </row>
    <row r="84" spans="1:6">
      <c r="A84" s="1" t="s">
        <v>338</v>
      </c>
      <c r="B84" s="3">
        <v>46926</v>
      </c>
      <c r="C84" s="1">
        <v>0</v>
      </c>
      <c r="D84" s="1">
        <v>1.3125</v>
      </c>
      <c r="E84" s="1">
        <v>30</v>
      </c>
      <c r="F84" s="1">
        <v>31.3125</v>
      </c>
    </row>
    <row r="85" spans="1:6">
      <c r="A85" s="1" t="s">
        <v>339</v>
      </c>
      <c r="B85" s="3">
        <v>45930</v>
      </c>
      <c r="C85" s="1">
        <v>100</v>
      </c>
      <c r="D85" s="1">
        <v>4</v>
      </c>
      <c r="E85" s="1">
        <v>0</v>
      </c>
      <c r="F85" s="1">
        <v>4</v>
      </c>
    </row>
    <row r="86" spans="1:6">
      <c r="A86" s="1" t="s">
        <v>339</v>
      </c>
      <c r="B86" s="3">
        <v>46112</v>
      </c>
      <c r="C86" s="1">
        <v>100</v>
      </c>
      <c r="D86" s="1">
        <v>4</v>
      </c>
      <c r="E86" s="1">
        <v>0</v>
      </c>
      <c r="F86" s="1">
        <v>4</v>
      </c>
    </row>
    <row r="87" spans="1:6">
      <c r="A87" s="1" t="s">
        <v>339</v>
      </c>
      <c r="B87" s="3">
        <v>46295</v>
      </c>
      <c r="C87" s="1">
        <v>100</v>
      </c>
      <c r="D87" s="1">
        <v>4</v>
      </c>
      <c r="E87" s="1">
        <v>0</v>
      </c>
      <c r="F87" s="1">
        <v>4</v>
      </c>
    </row>
    <row r="88" spans="1:6">
      <c r="A88" s="1" t="s">
        <v>339</v>
      </c>
      <c r="B88" s="3">
        <v>46477</v>
      </c>
      <c r="C88" s="1">
        <v>100</v>
      </c>
      <c r="D88" s="1">
        <v>4</v>
      </c>
      <c r="E88" s="1">
        <v>0</v>
      </c>
      <c r="F88" s="1">
        <v>4</v>
      </c>
    </row>
    <row r="89" spans="1:6">
      <c r="A89" s="1" t="s">
        <v>339</v>
      </c>
      <c r="B89" s="3">
        <v>46660</v>
      </c>
      <c r="C89" s="1">
        <v>100</v>
      </c>
      <c r="D89" s="1">
        <v>4</v>
      </c>
      <c r="E89" s="1">
        <v>0</v>
      </c>
      <c r="F89" s="1">
        <v>4</v>
      </c>
    </row>
    <row r="90" spans="1:6">
      <c r="A90" s="1" t="s">
        <v>339</v>
      </c>
      <c r="B90" s="3">
        <v>46843</v>
      </c>
      <c r="C90" s="1">
        <v>100</v>
      </c>
      <c r="D90" s="1">
        <v>4</v>
      </c>
      <c r="E90" s="1">
        <v>0</v>
      </c>
      <c r="F90" s="1">
        <v>4</v>
      </c>
    </row>
    <row r="91" spans="1:6">
      <c r="A91" s="1" t="s">
        <v>339</v>
      </c>
      <c r="B91" s="3">
        <v>47028</v>
      </c>
      <c r="C91" s="1">
        <v>100</v>
      </c>
      <c r="D91" s="1">
        <v>4</v>
      </c>
      <c r="E91" s="1">
        <v>0</v>
      </c>
      <c r="F91" s="1">
        <v>4</v>
      </c>
    </row>
    <row r="92" spans="1:6">
      <c r="A92" s="1" t="s">
        <v>339</v>
      </c>
      <c r="B92" s="3">
        <v>47211</v>
      </c>
      <c r="C92" s="1">
        <v>100</v>
      </c>
      <c r="D92" s="1">
        <v>4</v>
      </c>
      <c r="E92" s="1">
        <v>0</v>
      </c>
      <c r="F92" s="1">
        <v>4</v>
      </c>
    </row>
    <row r="93" spans="1:6">
      <c r="A93" s="1" t="s">
        <v>339</v>
      </c>
      <c r="B93" s="3">
        <v>47392</v>
      </c>
      <c r="C93" s="1">
        <v>100</v>
      </c>
      <c r="D93" s="1">
        <v>4</v>
      </c>
      <c r="E93" s="1">
        <v>0</v>
      </c>
      <c r="F93" s="1">
        <v>4</v>
      </c>
    </row>
    <row r="94" spans="1:6">
      <c r="A94" s="1" t="s">
        <v>339</v>
      </c>
      <c r="B94" s="3">
        <v>47574</v>
      </c>
      <c r="C94" s="1">
        <v>100</v>
      </c>
      <c r="D94" s="1">
        <v>4</v>
      </c>
      <c r="E94" s="1">
        <v>0</v>
      </c>
      <c r="F94" s="1">
        <v>4</v>
      </c>
    </row>
    <row r="95" spans="1:6">
      <c r="A95" s="1" t="s">
        <v>339</v>
      </c>
      <c r="B95" s="3">
        <v>47756</v>
      </c>
      <c r="C95" s="1">
        <v>100</v>
      </c>
      <c r="D95" s="1">
        <v>4</v>
      </c>
      <c r="E95" s="1">
        <v>0</v>
      </c>
      <c r="F95" s="1">
        <v>4</v>
      </c>
    </row>
    <row r="96" spans="1:6">
      <c r="A96" s="1" t="s">
        <v>339</v>
      </c>
      <c r="B96" s="3">
        <v>47938</v>
      </c>
      <c r="C96" s="1">
        <v>100</v>
      </c>
      <c r="D96" s="1">
        <v>4</v>
      </c>
      <c r="E96" s="1">
        <v>0</v>
      </c>
      <c r="F96" s="1">
        <v>4</v>
      </c>
    </row>
    <row r="97" spans="1:6">
      <c r="A97" s="1" t="s">
        <v>339</v>
      </c>
      <c r="B97" s="3">
        <v>48121</v>
      </c>
      <c r="C97" s="1">
        <v>100</v>
      </c>
      <c r="D97" s="1">
        <v>4</v>
      </c>
      <c r="E97" s="1">
        <v>0</v>
      </c>
      <c r="F97" s="1">
        <v>4</v>
      </c>
    </row>
    <row r="98" spans="1:6">
      <c r="A98" s="1" t="s">
        <v>339</v>
      </c>
      <c r="B98" s="3">
        <v>48304</v>
      </c>
      <c r="C98" s="1">
        <v>100</v>
      </c>
      <c r="D98" s="1">
        <v>4</v>
      </c>
      <c r="E98" s="1">
        <v>0</v>
      </c>
      <c r="F98" s="1">
        <v>4</v>
      </c>
    </row>
    <row r="99" spans="1:6">
      <c r="A99" s="1" t="s">
        <v>339</v>
      </c>
      <c r="B99" s="3">
        <v>48487</v>
      </c>
      <c r="C99" s="1">
        <v>100</v>
      </c>
      <c r="D99" s="1">
        <v>4</v>
      </c>
      <c r="E99" s="1">
        <v>0</v>
      </c>
      <c r="F99" s="1">
        <v>4</v>
      </c>
    </row>
    <row r="100" spans="1:6">
      <c r="A100" s="1" t="s">
        <v>339</v>
      </c>
      <c r="B100" s="3">
        <v>48669</v>
      </c>
      <c r="C100" s="1">
        <v>67</v>
      </c>
      <c r="D100" s="1">
        <v>4</v>
      </c>
      <c r="E100" s="1">
        <v>33</v>
      </c>
      <c r="F100" s="1">
        <v>37</v>
      </c>
    </row>
    <row r="101" spans="1:6">
      <c r="A101" s="1" t="s">
        <v>339</v>
      </c>
      <c r="B101" s="3">
        <v>48852</v>
      </c>
      <c r="C101" s="1">
        <v>67</v>
      </c>
      <c r="D101" s="1">
        <v>2.68</v>
      </c>
      <c r="E101" s="1">
        <v>0</v>
      </c>
      <c r="F101" s="1">
        <v>2.68</v>
      </c>
    </row>
    <row r="102" spans="1:6">
      <c r="A102" s="1" t="s">
        <v>339</v>
      </c>
      <c r="B102" s="3">
        <v>49034</v>
      </c>
      <c r="C102" s="1">
        <v>34</v>
      </c>
      <c r="D102" s="1">
        <v>2.68</v>
      </c>
      <c r="E102" s="1">
        <v>33</v>
      </c>
      <c r="F102" s="1">
        <v>35.68</v>
      </c>
    </row>
    <row r="103" spans="1:6">
      <c r="A103" s="1" t="s">
        <v>339</v>
      </c>
      <c r="B103" s="3">
        <v>49219</v>
      </c>
      <c r="C103" s="1">
        <v>34</v>
      </c>
      <c r="D103" s="1">
        <v>1.36</v>
      </c>
      <c r="E103" s="1">
        <v>0</v>
      </c>
      <c r="F103" s="1">
        <v>1.36</v>
      </c>
    </row>
    <row r="104" spans="1:6">
      <c r="A104" s="1" t="s">
        <v>339</v>
      </c>
      <c r="B104" s="3">
        <v>49402</v>
      </c>
      <c r="C104" s="1">
        <v>0</v>
      </c>
      <c r="D104" s="1">
        <v>1.36</v>
      </c>
      <c r="E104" s="1">
        <v>34</v>
      </c>
      <c r="F104" s="1">
        <v>35.36</v>
      </c>
    </row>
    <row r="105" spans="1:6">
      <c r="A105" s="1" t="s">
        <v>340</v>
      </c>
      <c r="B105" s="3">
        <v>45813</v>
      </c>
      <c r="C105" s="1">
        <v>100</v>
      </c>
      <c r="D105" s="1">
        <v>4.875</v>
      </c>
      <c r="E105" s="1">
        <v>0</v>
      </c>
      <c r="F105" s="1">
        <v>4.875</v>
      </c>
    </row>
    <row r="106" spans="1:6">
      <c r="A106" s="1" t="s">
        <v>340</v>
      </c>
      <c r="B106" s="3">
        <v>45996</v>
      </c>
      <c r="C106" s="1">
        <v>100</v>
      </c>
      <c r="D106" s="1">
        <v>4.875</v>
      </c>
      <c r="E106" s="1">
        <v>0</v>
      </c>
      <c r="F106" s="1">
        <v>4.875</v>
      </c>
    </row>
    <row r="107" spans="1:6">
      <c r="A107" s="1" t="s">
        <v>340</v>
      </c>
      <c r="B107" s="3">
        <v>46178</v>
      </c>
      <c r="C107" s="1">
        <v>100</v>
      </c>
      <c r="D107" s="1">
        <v>4.875</v>
      </c>
      <c r="E107" s="1">
        <v>0</v>
      </c>
      <c r="F107" s="1">
        <v>4.875</v>
      </c>
    </row>
    <row r="108" spans="1:6">
      <c r="A108" s="1" t="s">
        <v>340</v>
      </c>
      <c r="B108" s="3">
        <v>46365</v>
      </c>
      <c r="C108" s="1">
        <v>100</v>
      </c>
      <c r="D108" s="1">
        <v>4.875</v>
      </c>
      <c r="E108" s="1">
        <v>0</v>
      </c>
      <c r="F108" s="1">
        <v>4.875</v>
      </c>
    </row>
    <row r="109" spans="1:6">
      <c r="A109" s="1" t="s">
        <v>340</v>
      </c>
      <c r="B109" s="3">
        <v>46545</v>
      </c>
      <c r="C109" s="1">
        <v>100</v>
      </c>
      <c r="D109" s="1">
        <v>4.875</v>
      </c>
      <c r="E109" s="1">
        <v>0</v>
      </c>
      <c r="F109" s="1">
        <v>4.875</v>
      </c>
    </row>
    <row r="110" spans="1:6">
      <c r="A110" s="1" t="s">
        <v>340</v>
      </c>
      <c r="B110" s="3">
        <v>46727</v>
      </c>
      <c r="C110" s="1">
        <v>100</v>
      </c>
      <c r="D110" s="1">
        <v>4.875</v>
      </c>
      <c r="E110" s="1">
        <v>0</v>
      </c>
      <c r="F110" s="1">
        <v>4.875</v>
      </c>
    </row>
    <row r="111" spans="1:6">
      <c r="A111" s="1" t="s">
        <v>340</v>
      </c>
      <c r="B111" s="3">
        <v>46909</v>
      </c>
      <c r="C111" s="1">
        <v>100</v>
      </c>
      <c r="D111" s="1">
        <v>4.875</v>
      </c>
      <c r="E111" s="1">
        <v>0</v>
      </c>
      <c r="F111" s="1">
        <v>4.875</v>
      </c>
    </row>
    <row r="112" spans="1:6">
      <c r="A112" s="1" t="s">
        <v>340</v>
      </c>
      <c r="B112" s="3">
        <v>47092</v>
      </c>
      <c r="C112" s="1">
        <v>82.5</v>
      </c>
      <c r="D112" s="1">
        <v>4.875</v>
      </c>
      <c r="E112" s="1">
        <v>17.5</v>
      </c>
      <c r="F112" s="1">
        <v>22.375</v>
      </c>
    </row>
    <row r="113" spans="1:6">
      <c r="A113" s="1" t="s">
        <v>340</v>
      </c>
      <c r="B113" s="3">
        <v>47274</v>
      </c>
      <c r="C113" s="1">
        <v>82.5</v>
      </c>
      <c r="D113" s="1">
        <v>4.021875</v>
      </c>
      <c r="E113" s="1">
        <v>0</v>
      </c>
      <c r="F113" s="1">
        <v>4.021875</v>
      </c>
    </row>
    <row r="114" spans="1:6">
      <c r="A114" s="1" t="s">
        <v>340</v>
      </c>
      <c r="B114" s="3">
        <v>47457</v>
      </c>
      <c r="C114" s="1">
        <v>65</v>
      </c>
      <c r="D114" s="1">
        <v>4.021875</v>
      </c>
      <c r="E114" s="1">
        <v>17.5</v>
      </c>
      <c r="F114" s="1">
        <v>21.521875</v>
      </c>
    </row>
    <row r="115" spans="1:6">
      <c r="A115" s="1" t="s">
        <v>340</v>
      </c>
      <c r="B115" s="3">
        <v>47639</v>
      </c>
      <c r="C115" s="1">
        <v>65</v>
      </c>
      <c r="D115" s="1">
        <v>3.16875</v>
      </c>
      <c r="E115" s="1">
        <v>0</v>
      </c>
      <c r="F115" s="1">
        <v>3.16875</v>
      </c>
    </row>
    <row r="116" spans="1:6">
      <c r="A116" s="1" t="s">
        <v>340</v>
      </c>
      <c r="B116" s="3">
        <v>47822</v>
      </c>
      <c r="C116" s="1">
        <v>0</v>
      </c>
      <c r="D116" s="1">
        <v>3.16875</v>
      </c>
      <c r="E116" s="1">
        <v>65</v>
      </c>
      <c r="F116" s="1">
        <v>68.16875</v>
      </c>
    </row>
    <row r="117" spans="1:6">
      <c r="A117" s="1" t="s">
        <v>341</v>
      </c>
      <c r="B117" s="3">
        <v>46372</v>
      </c>
      <c r="C117" s="1">
        <v>100</v>
      </c>
      <c r="D117" s="1">
        <v>4.875</v>
      </c>
      <c r="E117" s="1">
        <v>0</v>
      </c>
      <c r="F117" s="1">
        <v>4.875</v>
      </c>
    </row>
    <row r="118" spans="1:6">
      <c r="A118" s="1" t="s">
        <v>341</v>
      </c>
      <c r="B118" s="3">
        <v>46554</v>
      </c>
      <c r="C118" s="1">
        <v>100</v>
      </c>
      <c r="D118" s="1">
        <v>4.875</v>
      </c>
      <c r="E118" s="1">
        <v>0</v>
      </c>
      <c r="F118" s="1">
        <v>4.875</v>
      </c>
    </row>
    <row r="119" spans="1:6">
      <c r="A119" s="1" t="s">
        <v>341</v>
      </c>
      <c r="B119" s="3">
        <v>46737</v>
      </c>
      <c r="C119" s="1">
        <v>100</v>
      </c>
      <c r="D119" s="1">
        <v>4.875</v>
      </c>
      <c r="E119" s="1">
        <v>0</v>
      </c>
      <c r="F119" s="1">
        <v>4.875</v>
      </c>
    </row>
    <row r="120" spans="1:6">
      <c r="A120" s="1" t="s">
        <v>341</v>
      </c>
      <c r="B120" s="3">
        <v>46920</v>
      </c>
      <c r="C120" s="1">
        <v>100</v>
      </c>
      <c r="D120" s="1">
        <v>4.875</v>
      </c>
      <c r="E120" s="1">
        <v>0</v>
      </c>
      <c r="F120" s="1">
        <v>4.875</v>
      </c>
    </row>
    <row r="121" spans="1:6">
      <c r="A121" s="1" t="s">
        <v>341</v>
      </c>
      <c r="B121" s="3">
        <v>47105</v>
      </c>
      <c r="C121" s="1">
        <v>100</v>
      </c>
      <c r="D121" s="1">
        <v>4.875</v>
      </c>
      <c r="E121" s="1">
        <v>0</v>
      </c>
      <c r="F121" s="1">
        <v>4.875</v>
      </c>
    </row>
    <row r="122" spans="1:6">
      <c r="A122" s="1" t="s">
        <v>341</v>
      </c>
      <c r="B122" s="3">
        <v>47287</v>
      </c>
      <c r="C122" s="1">
        <v>100</v>
      </c>
      <c r="D122" s="1">
        <v>4.875</v>
      </c>
      <c r="E122" s="1">
        <v>0</v>
      </c>
      <c r="F122" s="1">
        <v>4.875</v>
      </c>
    </row>
    <row r="123" spans="1:6">
      <c r="A123" s="1" t="s">
        <v>341</v>
      </c>
      <c r="B123" s="3">
        <v>47469</v>
      </c>
      <c r="C123" s="1">
        <v>100</v>
      </c>
      <c r="D123" s="1">
        <v>4.875</v>
      </c>
      <c r="E123" s="1">
        <v>0</v>
      </c>
      <c r="F123" s="1">
        <v>4.875</v>
      </c>
    </row>
    <row r="124" spans="1:6">
      <c r="A124" s="1" t="s">
        <v>341</v>
      </c>
      <c r="B124" s="3">
        <v>47652</v>
      </c>
      <c r="C124" s="1">
        <v>100</v>
      </c>
      <c r="D124" s="1">
        <v>4.875</v>
      </c>
      <c r="E124" s="1">
        <v>0</v>
      </c>
      <c r="F124" s="1">
        <v>4.875</v>
      </c>
    </row>
    <row r="125" spans="1:6">
      <c r="A125" s="1" t="s">
        <v>341</v>
      </c>
      <c r="B125" s="3">
        <v>47833</v>
      </c>
      <c r="C125" s="1">
        <v>100</v>
      </c>
      <c r="D125" s="1">
        <v>4.875</v>
      </c>
      <c r="E125" s="1">
        <v>0</v>
      </c>
      <c r="F125" s="1">
        <v>4.875</v>
      </c>
    </row>
    <row r="126" spans="1:6">
      <c r="A126" s="1" t="s">
        <v>341</v>
      </c>
      <c r="B126" s="3">
        <v>48016</v>
      </c>
      <c r="C126" s="1">
        <v>100</v>
      </c>
      <c r="D126" s="1">
        <v>4.875</v>
      </c>
      <c r="E126" s="1">
        <v>0</v>
      </c>
      <c r="F126" s="1">
        <v>4.875</v>
      </c>
    </row>
    <row r="127" spans="1:6">
      <c r="A127" s="1" t="s">
        <v>341</v>
      </c>
      <c r="B127" s="3">
        <v>48198</v>
      </c>
      <c r="C127" s="1">
        <v>100</v>
      </c>
      <c r="D127" s="1">
        <v>4.875</v>
      </c>
      <c r="E127" s="1">
        <v>0</v>
      </c>
      <c r="F127" s="1">
        <v>4.875</v>
      </c>
    </row>
    <row r="128" spans="1:6">
      <c r="A128" s="1" t="s">
        <v>341</v>
      </c>
      <c r="B128" s="3">
        <v>48381</v>
      </c>
      <c r="C128" s="1">
        <v>100</v>
      </c>
      <c r="D128" s="1">
        <v>4.875</v>
      </c>
      <c r="E128" s="1">
        <v>0</v>
      </c>
      <c r="F128" s="1">
        <v>4.875</v>
      </c>
    </row>
    <row r="129" spans="1:6">
      <c r="A129" s="1" t="s">
        <v>341</v>
      </c>
      <c r="B129" s="3">
        <v>48564</v>
      </c>
      <c r="C129" s="1">
        <v>100</v>
      </c>
      <c r="D129" s="1">
        <v>4.875</v>
      </c>
      <c r="E129" s="1">
        <v>0</v>
      </c>
      <c r="F129" s="1">
        <v>4.875</v>
      </c>
    </row>
    <row r="130" spans="1:6">
      <c r="A130" s="1" t="s">
        <v>341</v>
      </c>
      <c r="B130" s="3">
        <v>48746</v>
      </c>
      <c r="C130" s="1">
        <v>100</v>
      </c>
      <c r="D130" s="1">
        <v>4.875</v>
      </c>
      <c r="E130" s="1">
        <v>0</v>
      </c>
      <c r="F130" s="1">
        <v>4.875</v>
      </c>
    </row>
    <row r="131" spans="1:6">
      <c r="A131" s="1" t="s">
        <v>341</v>
      </c>
      <c r="B131" s="3">
        <v>48929</v>
      </c>
      <c r="C131" s="1">
        <v>100</v>
      </c>
      <c r="D131" s="1">
        <v>4.875</v>
      </c>
      <c r="E131" s="1">
        <v>0</v>
      </c>
      <c r="F131" s="1">
        <v>4.875</v>
      </c>
    </row>
    <row r="132" spans="1:6">
      <c r="A132" s="1" t="s">
        <v>341</v>
      </c>
      <c r="B132" s="3">
        <v>49111</v>
      </c>
      <c r="C132" s="1">
        <v>67</v>
      </c>
      <c r="D132" s="1">
        <v>4.875</v>
      </c>
      <c r="E132" s="1">
        <v>33</v>
      </c>
      <c r="F132" s="1">
        <v>37.875</v>
      </c>
    </row>
    <row r="133" spans="1:6">
      <c r="A133" s="1" t="s">
        <v>341</v>
      </c>
      <c r="B133" s="3">
        <v>49296</v>
      </c>
      <c r="C133" s="1">
        <v>67</v>
      </c>
      <c r="D133" s="1">
        <v>3.26625</v>
      </c>
      <c r="E133" s="1">
        <v>0</v>
      </c>
      <c r="F133" s="1">
        <v>3.26625</v>
      </c>
    </row>
    <row r="134" spans="1:6">
      <c r="A134" s="1" t="s">
        <v>341</v>
      </c>
      <c r="B134" s="3">
        <v>49478</v>
      </c>
      <c r="C134" s="1">
        <v>34</v>
      </c>
      <c r="D134" s="1">
        <v>3.26625</v>
      </c>
      <c r="E134" s="1">
        <v>33</v>
      </c>
      <c r="F134" s="1">
        <v>36.26625</v>
      </c>
    </row>
    <row r="135" spans="1:6">
      <c r="A135" s="1" t="s">
        <v>341</v>
      </c>
      <c r="B135" s="3">
        <v>49660</v>
      </c>
      <c r="C135" s="1">
        <v>34</v>
      </c>
      <c r="D135" s="1">
        <v>1.6575</v>
      </c>
      <c r="E135" s="1">
        <v>0</v>
      </c>
      <c r="F135" s="1">
        <v>1.6575</v>
      </c>
    </row>
    <row r="136" spans="1:6">
      <c r="A136" s="1" t="s">
        <v>341</v>
      </c>
      <c r="B136" s="3">
        <v>49843</v>
      </c>
      <c r="C136" s="1">
        <v>0</v>
      </c>
      <c r="D136" s="1">
        <v>1.6575</v>
      </c>
      <c r="E136" s="1">
        <v>34</v>
      </c>
      <c r="F136" s="1">
        <v>35.6575</v>
      </c>
    </row>
    <row r="137" spans="1:6">
      <c r="A137" s="1" t="s">
        <v>342</v>
      </c>
      <c r="B137" s="3">
        <v>45726</v>
      </c>
      <c r="C137" s="1">
        <v>100</v>
      </c>
      <c r="D137" s="1">
        <v>3.975</v>
      </c>
      <c r="E137" s="1">
        <v>0</v>
      </c>
      <c r="F137" s="1">
        <v>3.975</v>
      </c>
    </row>
    <row r="138" spans="1:6">
      <c r="A138" s="1" t="s">
        <v>342</v>
      </c>
      <c r="B138" s="3">
        <v>45910</v>
      </c>
      <c r="C138" s="1">
        <v>100</v>
      </c>
      <c r="D138" s="1">
        <v>3.975</v>
      </c>
      <c r="E138" s="1">
        <v>0</v>
      </c>
      <c r="F138" s="1">
        <v>3.975</v>
      </c>
    </row>
    <row r="139" spans="1:6">
      <c r="A139" s="1" t="s">
        <v>342</v>
      </c>
      <c r="B139" s="3">
        <v>46091</v>
      </c>
      <c r="C139" s="1">
        <v>100</v>
      </c>
      <c r="D139" s="1">
        <v>3.975</v>
      </c>
      <c r="E139" s="1">
        <v>0</v>
      </c>
      <c r="F139" s="1">
        <v>3.975</v>
      </c>
    </row>
    <row r="140" spans="1:6">
      <c r="A140" s="1" t="s">
        <v>342</v>
      </c>
      <c r="B140" s="3">
        <v>46275</v>
      </c>
      <c r="C140" s="1">
        <v>100</v>
      </c>
      <c r="D140" s="1">
        <v>3.975</v>
      </c>
      <c r="E140" s="1">
        <v>0</v>
      </c>
      <c r="F140" s="1">
        <v>3.975</v>
      </c>
    </row>
    <row r="141" spans="1:6">
      <c r="A141" s="1" t="s">
        <v>342</v>
      </c>
      <c r="B141" s="3">
        <v>46456</v>
      </c>
      <c r="C141" s="1">
        <v>100</v>
      </c>
      <c r="D141" s="1">
        <v>3.975</v>
      </c>
      <c r="E141" s="1">
        <v>0</v>
      </c>
      <c r="F141" s="1">
        <v>3.975</v>
      </c>
    </row>
    <row r="142" spans="1:6">
      <c r="A142" s="1" t="s">
        <v>342</v>
      </c>
      <c r="B142" s="3">
        <v>46640</v>
      </c>
      <c r="C142" s="1">
        <v>100</v>
      </c>
      <c r="D142" s="1">
        <v>3.975</v>
      </c>
      <c r="E142" s="1">
        <v>0</v>
      </c>
      <c r="F142" s="1">
        <v>3.975</v>
      </c>
    </row>
    <row r="143" spans="1:6">
      <c r="A143" s="1" t="s">
        <v>342</v>
      </c>
      <c r="B143" s="3">
        <v>46822</v>
      </c>
      <c r="C143" s="1">
        <v>100</v>
      </c>
      <c r="D143" s="1">
        <v>3.975</v>
      </c>
      <c r="E143" s="1">
        <v>0</v>
      </c>
      <c r="F143" s="1">
        <v>3.975</v>
      </c>
    </row>
    <row r="144" spans="1:6">
      <c r="A144" s="1" t="s">
        <v>342</v>
      </c>
      <c r="B144" s="3">
        <v>47007</v>
      </c>
      <c r="C144" s="1">
        <v>100</v>
      </c>
      <c r="D144" s="1">
        <v>3.975</v>
      </c>
      <c r="E144" s="1">
        <v>0</v>
      </c>
      <c r="F144" s="1">
        <v>3.975</v>
      </c>
    </row>
    <row r="145" spans="1:6">
      <c r="A145" s="1" t="s">
        <v>342</v>
      </c>
      <c r="B145" s="3">
        <v>47189</v>
      </c>
      <c r="C145" s="1">
        <v>100</v>
      </c>
      <c r="D145" s="1">
        <v>3.975</v>
      </c>
      <c r="E145" s="1">
        <v>0</v>
      </c>
      <c r="F145" s="1">
        <v>3.975</v>
      </c>
    </row>
    <row r="146" spans="1:6">
      <c r="A146" s="1" t="s">
        <v>342</v>
      </c>
      <c r="B146" s="3">
        <v>47371</v>
      </c>
      <c r="C146" s="1">
        <v>100</v>
      </c>
      <c r="D146" s="1">
        <v>3.975</v>
      </c>
      <c r="E146" s="1">
        <v>0</v>
      </c>
      <c r="F146" s="1">
        <v>3.975</v>
      </c>
    </row>
    <row r="147" spans="1:6">
      <c r="A147" s="1" t="s">
        <v>342</v>
      </c>
      <c r="B147" s="3">
        <v>47553</v>
      </c>
      <c r="C147" s="1">
        <v>100</v>
      </c>
      <c r="D147" s="1">
        <v>3.975</v>
      </c>
      <c r="E147" s="1">
        <v>0</v>
      </c>
      <c r="F147" s="1">
        <v>3.975</v>
      </c>
    </row>
    <row r="148" spans="1:6">
      <c r="A148" s="1" t="s">
        <v>342</v>
      </c>
      <c r="B148" s="3">
        <v>47736</v>
      </c>
      <c r="C148" s="1">
        <v>100</v>
      </c>
      <c r="D148" s="1">
        <v>3.975</v>
      </c>
      <c r="E148" s="1">
        <v>0</v>
      </c>
      <c r="F148" s="1">
        <v>3.975</v>
      </c>
    </row>
    <row r="149" spans="1:6">
      <c r="A149" s="1" t="s">
        <v>342</v>
      </c>
      <c r="B149" s="3">
        <v>47917</v>
      </c>
      <c r="C149" s="1">
        <v>100</v>
      </c>
      <c r="D149" s="1">
        <v>3.975</v>
      </c>
      <c r="E149" s="1">
        <v>0</v>
      </c>
      <c r="F149" s="1">
        <v>3.975</v>
      </c>
    </row>
    <row r="150" spans="1:6">
      <c r="A150" s="1" t="s">
        <v>342</v>
      </c>
      <c r="B150" s="3">
        <v>48101</v>
      </c>
      <c r="C150" s="1">
        <v>0</v>
      </c>
      <c r="D150" s="1">
        <v>3.975</v>
      </c>
      <c r="E150" s="1">
        <v>100</v>
      </c>
      <c r="F150" s="1">
        <v>103.975</v>
      </c>
    </row>
    <row r="151" spans="1:6">
      <c r="A151" s="1" t="s">
        <v>343</v>
      </c>
      <c r="B151" s="3">
        <v>45825</v>
      </c>
      <c r="C151" s="1">
        <v>100</v>
      </c>
      <c r="D151" s="1">
        <v>3.9375</v>
      </c>
      <c r="E151" s="1">
        <v>0</v>
      </c>
      <c r="F151" s="1">
        <v>3.9375</v>
      </c>
    </row>
    <row r="152" spans="1:6">
      <c r="A152" s="1" t="s">
        <v>343</v>
      </c>
      <c r="B152" s="3">
        <v>46007</v>
      </c>
      <c r="C152" s="1">
        <v>100</v>
      </c>
      <c r="D152" s="1">
        <v>3.9375</v>
      </c>
      <c r="E152" s="1">
        <v>0</v>
      </c>
      <c r="F152" s="1">
        <v>3.9375</v>
      </c>
    </row>
    <row r="153" spans="1:6">
      <c r="A153" s="1" t="s">
        <v>343</v>
      </c>
      <c r="B153" s="3">
        <v>46189</v>
      </c>
      <c r="C153" s="1">
        <v>100</v>
      </c>
      <c r="D153" s="1">
        <v>3.9375</v>
      </c>
      <c r="E153" s="1">
        <v>0</v>
      </c>
      <c r="F153" s="1">
        <v>3.9375</v>
      </c>
    </row>
    <row r="154" spans="1:6">
      <c r="A154" s="1" t="s">
        <v>343</v>
      </c>
      <c r="B154" s="3">
        <v>46372</v>
      </c>
      <c r="C154" s="1">
        <v>100</v>
      </c>
      <c r="D154" s="1">
        <v>3.9375</v>
      </c>
      <c r="E154" s="1">
        <v>0</v>
      </c>
      <c r="F154" s="1">
        <v>3.9375</v>
      </c>
    </row>
    <row r="155" spans="1:6">
      <c r="A155" s="1" t="s">
        <v>343</v>
      </c>
      <c r="B155" s="3">
        <v>46554</v>
      </c>
      <c r="C155" s="1">
        <v>100</v>
      </c>
      <c r="D155" s="1">
        <v>3.9375</v>
      </c>
      <c r="E155" s="1">
        <v>0</v>
      </c>
      <c r="F155" s="1">
        <v>3.9375</v>
      </c>
    </row>
    <row r="156" spans="1:6">
      <c r="A156" s="1" t="s">
        <v>343</v>
      </c>
      <c r="B156" s="3">
        <v>46737</v>
      </c>
      <c r="C156" s="1">
        <v>100</v>
      </c>
      <c r="D156" s="1">
        <v>3.9375</v>
      </c>
      <c r="E156" s="1">
        <v>0</v>
      </c>
      <c r="F156" s="1">
        <v>3.9375</v>
      </c>
    </row>
    <row r="157" spans="1:6">
      <c r="A157" s="1" t="s">
        <v>343</v>
      </c>
      <c r="B157" s="3">
        <v>46920</v>
      </c>
      <c r="C157" s="1">
        <v>100</v>
      </c>
      <c r="D157" s="1">
        <v>3.9375</v>
      </c>
      <c r="E157" s="1">
        <v>0</v>
      </c>
      <c r="F157" s="1">
        <v>3.9375</v>
      </c>
    </row>
    <row r="158" spans="1:6">
      <c r="A158" s="1" t="s">
        <v>343</v>
      </c>
      <c r="B158" s="3">
        <v>47105</v>
      </c>
      <c r="C158" s="1">
        <v>100</v>
      </c>
      <c r="D158" s="1">
        <v>3.9375</v>
      </c>
      <c r="E158" s="1">
        <v>0</v>
      </c>
      <c r="F158" s="1">
        <v>3.9375</v>
      </c>
    </row>
    <row r="159" spans="1:6">
      <c r="A159" s="1" t="s">
        <v>343</v>
      </c>
      <c r="B159" s="3">
        <v>47287</v>
      </c>
      <c r="C159" s="1">
        <v>100</v>
      </c>
      <c r="D159" s="1">
        <v>3.9375</v>
      </c>
      <c r="E159" s="1">
        <v>0</v>
      </c>
      <c r="F159" s="1">
        <v>3.9375</v>
      </c>
    </row>
    <row r="160" spans="1:6">
      <c r="A160" s="1" t="s">
        <v>343</v>
      </c>
      <c r="B160" s="3">
        <v>47469</v>
      </c>
      <c r="C160" s="1">
        <v>100</v>
      </c>
      <c r="D160" s="1">
        <v>3.9375</v>
      </c>
      <c r="E160" s="1">
        <v>0</v>
      </c>
      <c r="F160" s="1">
        <v>3.9375</v>
      </c>
    </row>
    <row r="161" spans="1:6">
      <c r="A161" s="1" t="s">
        <v>343</v>
      </c>
      <c r="B161" s="3">
        <v>47652</v>
      </c>
      <c r="C161" s="1">
        <v>100</v>
      </c>
      <c r="D161" s="1">
        <v>3.9375</v>
      </c>
      <c r="E161" s="1">
        <v>0</v>
      </c>
      <c r="F161" s="1">
        <v>3.9375</v>
      </c>
    </row>
    <row r="162" spans="1:6">
      <c r="A162" s="1" t="s">
        <v>343</v>
      </c>
      <c r="B162" s="3">
        <v>47833</v>
      </c>
      <c r="C162" s="1">
        <v>100</v>
      </c>
      <c r="D162" s="1">
        <v>3.9375</v>
      </c>
      <c r="E162" s="1">
        <v>0</v>
      </c>
      <c r="F162" s="1">
        <v>3.9375</v>
      </c>
    </row>
    <row r="163" spans="1:6">
      <c r="A163" s="1" t="s">
        <v>343</v>
      </c>
      <c r="B163" s="3">
        <v>48016</v>
      </c>
      <c r="C163" s="1">
        <v>100</v>
      </c>
      <c r="D163" s="1">
        <v>3.9375</v>
      </c>
      <c r="E163" s="1">
        <v>0</v>
      </c>
      <c r="F163" s="1">
        <v>3.9375</v>
      </c>
    </row>
    <row r="164" spans="1:6">
      <c r="A164" s="1" t="s">
        <v>343</v>
      </c>
      <c r="B164" s="3">
        <v>48198</v>
      </c>
      <c r="C164" s="1">
        <v>100</v>
      </c>
      <c r="D164" s="1">
        <v>3.9375</v>
      </c>
      <c r="E164" s="1">
        <v>0</v>
      </c>
      <c r="F164" s="1">
        <v>3.9375</v>
      </c>
    </row>
    <row r="165" spans="1:6">
      <c r="A165" s="1" t="s">
        <v>343</v>
      </c>
      <c r="B165" s="3">
        <v>48381</v>
      </c>
      <c r="C165" s="1">
        <v>100</v>
      </c>
      <c r="D165" s="1">
        <v>3.9375</v>
      </c>
      <c r="E165" s="1">
        <v>0</v>
      </c>
      <c r="F165" s="1">
        <v>3.9375</v>
      </c>
    </row>
    <row r="166" spans="1:6">
      <c r="A166" s="1" t="s">
        <v>343</v>
      </c>
      <c r="B166" s="3">
        <v>48564</v>
      </c>
      <c r="C166" s="1">
        <v>100</v>
      </c>
      <c r="D166" s="1">
        <v>3.9375</v>
      </c>
      <c r="E166" s="1">
        <v>0</v>
      </c>
      <c r="F166" s="1">
        <v>3.9375</v>
      </c>
    </row>
    <row r="167" spans="1:6">
      <c r="A167" s="1" t="s">
        <v>343</v>
      </c>
      <c r="B167" s="3">
        <v>48746</v>
      </c>
      <c r="C167" s="1">
        <v>100</v>
      </c>
      <c r="D167" s="1">
        <v>3.9375</v>
      </c>
      <c r="E167" s="1">
        <v>0</v>
      </c>
      <c r="F167" s="1">
        <v>3.9375</v>
      </c>
    </row>
    <row r="168" spans="1:6">
      <c r="A168" s="1" t="s">
        <v>343</v>
      </c>
      <c r="B168" s="3">
        <v>48929</v>
      </c>
      <c r="C168" s="1">
        <v>100</v>
      </c>
      <c r="D168" s="1">
        <v>3.9375</v>
      </c>
      <c r="E168" s="1">
        <v>0</v>
      </c>
      <c r="F168" s="1">
        <v>3.9375</v>
      </c>
    </row>
    <row r="169" spans="1:6">
      <c r="A169" s="1" t="s">
        <v>343</v>
      </c>
      <c r="B169" s="3">
        <v>49111</v>
      </c>
      <c r="C169" s="1">
        <v>100</v>
      </c>
      <c r="D169" s="1">
        <v>3.9375</v>
      </c>
      <c r="E169" s="1">
        <v>0</v>
      </c>
      <c r="F169" s="1">
        <v>3.9375</v>
      </c>
    </row>
    <row r="170" spans="1:6">
      <c r="A170" s="1" t="s">
        <v>343</v>
      </c>
      <c r="B170" s="3">
        <v>49296</v>
      </c>
      <c r="C170" s="1">
        <v>0</v>
      </c>
      <c r="D170" s="1">
        <v>3.9375</v>
      </c>
      <c r="E170" s="1">
        <v>100</v>
      </c>
      <c r="F170" s="1">
        <v>103.9375</v>
      </c>
    </row>
    <row r="171" spans="1:6">
      <c r="A171" s="1" t="s">
        <v>344</v>
      </c>
      <c r="B171" s="3">
        <v>46156</v>
      </c>
      <c r="C171" s="1">
        <v>100</v>
      </c>
      <c r="D171" s="1">
        <v>3.875</v>
      </c>
      <c r="E171" s="1">
        <v>0</v>
      </c>
      <c r="F171" s="1">
        <v>3.875</v>
      </c>
    </row>
    <row r="172" spans="1:6">
      <c r="A172" s="1" t="s">
        <v>344</v>
      </c>
      <c r="B172" s="3">
        <v>46342</v>
      </c>
      <c r="C172" s="1">
        <v>100</v>
      </c>
      <c r="D172" s="1">
        <v>3.875</v>
      </c>
      <c r="E172" s="1">
        <v>0</v>
      </c>
      <c r="F172" s="1">
        <v>3.875</v>
      </c>
    </row>
    <row r="173" spans="1:6">
      <c r="A173" s="1" t="s">
        <v>344</v>
      </c>
      <c r="B173" s="3">
        <v>46521</v>
      </c>
      <c r="C173" s="1">
        <v>100</v>
      </c>
      <c r="D173" s="1">
        <v>3.875</v>
      </c>
      <c r="E173" s="1">
        <v>0</v>
      </c>
      <c r="F173" s="1">
        <v>3.875</v>
      </c>
    </row>
    <row r="174" spans="1:6">
      <c r="A174" s="1" t="s">
        <v>344</v>
      </c>
      <c r="B174" s="3">
        <v>46706</v>
      </c>
      <c r="C174" s="1">
        <v>100</v>
      </c>
      <c r="D174" s="1">
        <v>3.875</v>
      </c>
      <c r="E174" s="1">
        <v>0</v>
      </c>
      <c r="F174" s="1">
        <v>3.875</v>
      </c>
    </row>
    <row r="175" spans="1:6">
      <c r="A175" s="1" t="s">
        <v>344</v>
      </c>
      <c r="B175" s="3">
        <v>46888</v>
      </c>
      <c r="C175" s="1">
        <v>100</v>
      </c>
      <c r="D175" s="1">
        <v>3.875</v>
      </c>
      <c r="E175" s="1">
        <v>0</v>
      </c>
      <c r="F175" s="1">
        <v>3.875</v>
      </c>
    </row>
    <row r="176" spans="1:6">
      <c r="A176" s="1" t="s">
        <v>344</v>
      </c>
      <c r="B176" s="3">
        <v>47071</v>
      </c>
      <c r="C176" s="1">
        <v>100</v>
      </c>
      <c r="D176" s="1">
        <v>3.875</v>
      </c>
      <c r="E176" s="1">
        <v>0</v>
      </c>
      <c r="F176" s="1">
        <v>3.875</v>
      </c>
    </row>
    <row r="177" spans="1:6">
      <c r="A177" s="1" t="s">
        <v>344</v>
      </c>
      <c r="B177" s="3">
        <v>47252</v>
      </c>
      <c r="C177" s="1">
        <v>100</v>
      </c>
      <c r="D177" s="1">
        <v>3.875</v>
      </c>
      <c r="E177" s="1">
        <v>0</v>
      </c>
      <c r="F177" s="1">
        <v>3.875</v>
      </c>
    </row>
    <row r="178" spans="1:6">
      <c r="A178" s="1" t="s">
        <v>344</v>
      </c>
      <c r="B178" s="3">
        <v>47436</v>
      </c>
      <c r="C178" s="1">
        <v>100</v>
      </c>
      <c r="D178" s="1">
        <v>3.875</v>
      </c>
      <c r="E178" s="1">
        <v>0</v>
      </c>
      <c r="F178" s="1">
        <v>3.875</v>
      </c>
    </row>
    <row r="179" spans="1:6">
      <c r="A179" s="1" t="s">
        <v>344</v>
      </c>
      <c r="B179" s="3">
        <v>47617</v>
      </c>
      <c r="C179" s="1">
        <v>100</v>
      </c>
      <c r="D179" s="1">
        <v>3.875</v>
      </c>
      <c r="E179" s="1">
        <v>0</v>
      </c>
      <c r="F179" s="1">
        <v>3.875</v>
      </c>
    </row>
    <row r="180" spans="1:6">
      <c r="A180" s="1" t="s">
        <v>344</v>
      </c>
      <c r="B180" s="3">
        <v>47801</v>
      </c>
      <c r="C180" s="1">
        <v>100</v>
      </c>
      <c r="D180" s="1">
        <v>3.875</v>
      </c>
      <c r="E180" s="1">
        <v>0</v>
      </c>
      <c r="F180" s="1">
        <v>3.875</v>
      </c>
    </row>
    <row r="181" spans="1:6">
      <c r="A181" s="1" t="s">
        <v>344</v>
      </c>
      <c r="B181" s="3">
        <v>47982</v>
      </c>
      <c r="C181" s="1">
        <v>100</v>
      </c>
      <c r="D181" s="1">
        <v>3.875</v>
      </c>
      <c r="E181" s="1">
        <v>0</v>
      </c>
      <c r="F181" s="1">
        <v>3.875</v>
      </c>
    </row>
    <row r="182" spans="1:6">
      <c r="A182" s="1" t="s">
        <v>344</v>
      </c>
      <c r="B182" s="3">
        <v>48166</v>
      </c>
      <c r="C182" s="1">
        <v>100</v>
      </c>
      <c r="D182" s="1">
        <v>3.875</v>
      </c>
      <c r="E182" s="1">
        <v>0</v>
      </c>
      <c r="F182" s="1">
        <v>3.875</v>
      </c>
    </row>
    <row r="183" spans="1:6">
      <c r="A183" s="1" t="s">
        <v>344</v>
      </c>
      <c r="B183" s="3">
        <v>48348</v>
      </c>
      <c r="C183" s="1">
        <v>100</v>
      </c>
      <c r="D183" s="1">
        <v>3.875</v>
      </c>
      <c r="E183" s="1">
        <v>0</v>
      </c>
      <c r="F183" s="1">
        <v>3.875</v>
      </c>
    </row>
    <row r="184" spans="1:6">
      <c r="A184" s="1" t="s">
        <v>344</v>
      </c>
      <c r="B184" s="3">
        <v>48533</v>
      </c>
      <c r="C184" s="1">
        <v>100</v>
      </c>
      <c r="D184" s="1">
        <v>3.875</v>
      </c>
      <c r="E184" s="1">
        <v>0</v>
      </c>
      <c r="F184" s="1">
        <v>3.875</v>
      </c>
    </row>
    <row r="185" spans="1:6">
      <c r="A185" s="1" t="s">
        <v>344</v>
      </c>
      <c r="B185" s="3">
        <v>48715</v>
      </c>
      <c r="C185" s="1">
        <v>100</v>
      </c>
      <c r="D185" s="1">
        <v>3.875</v>
      </c>
      <c r="E185" s="1">
        <v>0</v>
      </c>
      <c r="F185" s="1">
        <v>3.875</v>
      </c>
    </row>
    <row r="186" spans="1:6">
      <c r="A186" s="1" t="s">
        <v>344</v>
      </c>
      <c r="B186" s="3">
        <v>48897</v>
      </c>
      <c r="C186" s="1">
        <v>100</v>
      </c>
      <c r="D186" s="1">
        <v>3.875</v>
      </c>
      <c r="E186" s="1">
        <v>0</v>
      </c>
      <c r="F186" s="1">
        <v>3.875</v>
      </c>
    </row>
    <row r="187" spans="1:6">
      <c r="A187" s="1" t="s">
        <v>344</v>
      </c>
      <c r="B187" s="3">
        <v>49079</v>
      </c>
      <c r="C187" s="1">
        <v>100</v>
      </c>
      <c r="D187" s="1">
        <v>3.875</v>
      </c>
      <c r="E187" s="1">
        <v>0</v>
      </c>
      <c r="F187" s="1">
        <v>3.875</v>
      </c>
    </row>
    <row r="188" spans="1:6">
      <c r="A188" s="1" t="s">
        <v>344</v>
      </c>
      <c r="B188" s="3">
        <v>49262</v>
      </c>
      <c r="C188" s="1">
        <v>100</v>
      </c>
      <c r="D188" s="1">
        <v>3.875</v>
      </c>
      <c r="E188" s="1">
        <v>0</v>
      </c>
      <c r="F188" s="1">
        <v>3.875</v>
      </c>
    </row>
    <row r="189" spans="1:6">
      <c r="A189" s="1" t="s">
        <v>344</v>
      </c>
      <c r="B189" s="3">
        <v>49443</v>
      </c>
      <c r="C189" s="1">
        <v>100</v>
      </c>
      <c r="D189" s="1">
        <v>3.875</v>
      </c>
      <c r="E189" s="1">
        <v>0</v>
      </c>
      <c r="F189" s="1">
        <v>3.875</v>
      </c>
    </row>
    <row r="190" spans="1:6">
      <c r="A190" s="1" t="s">
        <v>344</v>
      </c>
      <c r="B190" s="3">
        <v>49627</v>
      </c>
      <c r="C190" s="1">
        <v>100</v>
      </c>
      <c r="D190" s="1">
        <v>3.875</v>
      </c>
      <c r="E190" s="1">
        <v>0</v>
      </c>
      <c r="F190" s="1">
        <v>3.875</v>
      </c>
    </row>
    <row r="191" spans="1:6">
      <c r="A191" s="1" t="s">
        <v>344</v>
      </c>
      <c r="B191" s="3">
        <v>49809</v>
      </c>
      <c r="C191" s="1">
        <v>100</v>
      </c>
      <c r="D191" s="1">
        <v>3.875</v>
      </c>
      <c r="E191" s="1">
        <v>0</v>
      </c>
      <c r="F191" s="1">
        <v>3.875</v>
      </c>
    </row>
    <row r="192" spans="1:6">
      <c r="A192" s="1" t="s">
        <v>344</v>
      </c>
      <c r="B192" s="3">
        <v>49993</v>
      </c>
      <c r="C192" s="1">
        <v>100</v>
      </c>
      <c r="D192" s="1">
        <v>3.875</v>
      </c>
      <c r="E192" s="1">
        <v>0</v>
      </c>
      <c r="F192" s="1">
        <v>3.875</v>
      </c>
    </row>
    <row r="193" spans="1:6">
      <c r="A193" s="1" t="s">
        <v>344</v>
      </c>
      <c r="B193" s="3">
        <v>50174</v>
      </c>
      <c r="C193" s="1">
        <v>100</v>
      </c>
      <c r="D193" s="1">
        <v>3.875</v>
      </c>
      <c r="E193" s="1">
        <v>0</v>
      </c>
      <c r="F193" s="1">
        <v>3.875</v>
      </c>
    </row>
    <row r="194" spans="1:6">
      <c r="A194" s="1" t="s">
        <v>344</v>
      </c>
      <c r="B194" s="3">
        <v>50360</v>
      </c>
      <c r="C194" s="1">
        <v>0</v>
      </c>
      <c r="D194" s="1">
        <v>3.875</v>
      </c>
      <c r="E194" s="1">
        <v>100</v>
      </c>
      <c r="F194" s="1">
        <v>103.875</v>
      </c>
    </row>
    <row r="195" spans="1:6">
      <c r="A195" s="1" t="s">
        <v>345</v>
      </c>
      <c r="B195" s="3">
        <v>46218</v>
      </c>
      <c r="C195" s="1">
        <v>100</v>
      </c>
      <c r="D195" s="1">
        <v>3.875</v>
      </c>
      <c r="E195" s="1">
        <v>0</v>
      </c>
      <c r="F195" s="1">
        <v>3.875</v>
      </c>
    </row>
    <row r="196" spans="1:6">
      <c r="A196" s="1" t="s">
        <v>345</v>
      </c>
      <c r="B196" s="3">
        <v>46402</v>
      </c>
      <c r="C196" s="1">
        <v>100</v>
      </c>
      <c r="D196" s="1">
        <v>3.875</v>
      </c>
      <c r="E196" s="1">
        <v>0</v>
      </c>
      <c r="F196" s="1">
        <v>3.875</v>
      </c>
    </row>
    <row r="197" spans="1:6">
      <c r="A197" s="1" t="s">
        <v>345</v>
      </c>
      <c r="B197" s="3">
        <v>46583</v>
      </c>
      <c r="C197" s="1">
        <v>100</v>
      </c>
      <c r="D197" s="1">
        <v>3.875</v>
      </c>
      <c r="E197" s="1">
        <v>0</v>
      </c>
      <c r="F197" s="1">
        <v>3.875</v>
      </c>
    </row>
    <row r="198" spans="1:6">
      <c r="A198" s="1" t="s">
        <v>345</v>
      </c>
      <c r="B198" s="3">
        <v>46769</v>
      </c>
      <c r="C198" s="1">
        <v>100</v>
      </c>
      <c r="D198" s="1">
        <v>3.875</v>
      </c>
      <c r="E198" s="1">
        <v>0</v>
      </c>
      <c r="F198" s="1">
        <v>3.875</v>
      </c>
    </row>
    <row r="199" spans="1:6">
      <c r="A199" s="1" t="s">
        <v>345</v>
      </c>
      <c r="B199" s="3">
        <v>46951</v>
      </c>
      <c r="C199" s="1">
        <v>100</v>
      </c>
      <c r="D199" s="1">
        <v>3.875</v>
      </c>
      <c r="E199" s="1">
        <v>0</v>
      </c>
      <c r="F199" s="1">
        <v>3.875</v>
      </c>
    </row>
    <row r="200" spans="1:6">
      <c r="A200" s="1" t="s">
        <v>345</v>
      </c>
      <c r="B200" s="3">
        <v>47133</v>
      </c>
      <c r="C200" s="1">
        <v>100</v>
      </c>
      <c r="D200" s="1">
        <v>3.875</v>
      </c>
      <c r="E200" s="1">
        <v>0</v>
      </c>
      <c r="F200" s="1">
        <v>3.875</v>
      </c>
    </row>
    <row r="201" spans="1:6">
      <c r="A201" s="1" t="s">
        <v>345</v>
      </c>
      <c r="B201" s="3">
        <v>47315</v>
      </c>
      <c r="C201" s="1">
        <v>100</v>
      </c>
      <c r="D201" s="1">
        <v>3.875</v>
      </c>
      <c r="E201" s="1">
        <v>0</v>
      </c>
      <c r="F201" s="1">
        <v>3.875</v>
      </c>
    </row>
    <row r="202" spans="1:6">
      <c r="A202" s="1" t="s">
        <v>345</v>
      </c>
      <c r="B202" s="3">
        <v>47498</v>
      </c>
      <c r="C202" s="1">
        <v>100</v>
      </c>
      <c r="D202" s="1">
        <v>3.875</v>
      </c>
      <c r="E202" s="1">
        <v>0</v>
      </c>
      <c r="F202" s="1">
        <v>3.875</v>
      </c>
    </row>
    <row r="203" spans="1:6">
      <c r="A203" s="1" t="s">
        <v>345</v>
      </c>
      <c r="B203" s="3">
        <v>47679</v>
      </c>
      <c r="C203" s="1">
        <v>100</v>
      </c>
      <c r="D203" s="1">
        <v>3.875</v>
      </c>
      <c r="E203" s="1">
        <v>0</v>
      </c>
      <c r="F203" s="1">
        <v>3.875</v>
      </c>
    </row>
    <row r="204" spans="1:6">
      <c r="A204" s="1" t="s">
        <v>345</v>
      </c>
      <c r="B204" s="3">
        <v>47863</v>
      </c>
      <c r="C204" s="1">
        <v>100</v>
      </c>
      <c r="D204" s="1">
        <v>3.875</v>
      </c>
      <c r="E204" s="1">
        <v>0</v>
      </c>
      <c r="F204" s="1">
        <v>3.875</v>
      </c>
    </row>
    <row r="205" spans="1:6">
      <c r="A205" s="1" t="s">
        <v>345</v>
      </c>
      <c r="B205" s="3">
        <v>48044</v>
      </c>
      <c r="C205" s="1">
        <v>100</v>
      </c>
      <c r="D205" s="1">
        <v>3.875</v>
      </c>
      <c r="E205" s="1">
        <v>0</v>
      </c>
      <c r="F205" s="1">
        <v>3.875</v>
      </c>
    </row>
    <row r="206" spans="1:6">
      <c r="A206" s="1" t="s">
        <v>345</v>
      </c>
      <c r="B206" s="3">
        <v>48228</v>
      </c>
      <c r="C206" s="1">
        <v>100</v>
      </c>
      <c r="D206" s="1">
        <v>3.875</v>
      </c>
      <c r="E206" s="1">
        <v>0</v>
      </c>
      <c r="F206" s="1">
        <v>3.875</v>
      </c>
    </row>
    <row r="207" spans="1:6">
      <c r="A207" s="1" t="s">
        <v>345</v>
      </c>
      <c r="B207" s="3">
        <v>48410</v>
      </c>
      <c r="C207" s="1">
        <v>100</v>
      </c>
      <c r="D207" s="1">
        <v>3.875</v>
      </c>
      <c r="E207" s="1">
        <v>0</v>
      </c>
      <c r="F207" s="1">
        <v>3.875</v>
      </c>
    </row>
    <row r="208" spans="1:6">
      <c r="A208" s="1" t="s">
        <v>345</v>
      </c>
      <c r="B208" s="3">
        <v>48596</v>
      </c>
      <c r="C208" s="1">
        <v>100</v>
      </c>
      <c r="D208" s="1">
        <v>3.875</v>
      </c>
      <c r="E208" s="1">
        <v>0</v>
      </c>
      <c r="F208" s="1">
        <v>3.875</v>
      </c>
    </row>
    <row r="209" spans="1:6">
      <c r="A209" s="1" t="s">
        <v>345</v>
      </c>
      <c r="B209" s="3">
        <v>48775</v>
      </c>
      <c r="C209" s="1">
        <v>100</v>
      </c>
      <c r="D209" s="1">
        <v>3.875</v>
      </c>
      <c r="E209" s="1">
        <v>0</v>
      </c>
      <c r="F209" s="1">
        <v>3.875</v>
      </c>
    </row>
    <row r="210" spans="1:6">
      <c r="A210" s="1" t="s">
        <v>345</v>
      </c>
      <c r="B210" s="3">
        <v>48960</v>
      </c>
      <c r="C210" s="1">
        <v>100</v>
      </c>
      <c r="D210" s="1">
        <v>3.875</v>
      </c>
      <c r="E210" s="1">
        <v>0</v>
      </c>
      <c r="F210" s="1">
        <v>3.875</v>
      </c>
    </row>
    <row r="211" spans="1:6">
      <c r="A211" s="1" t="s">
        <v>345</v>
      </c>
      <c r="B211" s="3">
        <v>49142</v>
      </c>
      <c r="C211" s="1">
        <v>100</v>
      </c>
      <c r="D211" s="1">
        <v>3.875</v>
      </c>
      <c r="E211" s="1">
        <v>0</v>
      </c>
      <c r="F211" s="1">
        <v>3.875</v>
      </c>
    </row>
    <row r="212" spans="1:6">
      <c r="A212" s="1" t="s">
        <v>345</v>
      </c>
      <c r="B212" s="3">
        <v>49324</v>
      </c>
      <c r="C212" s="1">
        <v>67</v>
      </c>
      <c r="D212" s="1">
        <v>3.875</v>
      </c>
      <c r="E212" s="1">
        <v>33</v>
      </c>
      <c r="F212" s="1">
        <v>36.875</v>
      </c>
    </row>
    <row r="213" spans="1:6">
      <c r="A213" s="1" t="s">
        <v>345</v>
      </c>
      <c r="B213" s="3">
        <v>49506</v>
      </c>
      <c r="C213" s="1">
        <v>67</v>
      </c>
      <c r="D213" s="1">
        <v>2.59625</v>
      </c>
      <c r="E213" s="1">
        <v>0</v>
      </c>
      <c r="F213" s="1">
        <v>2.59625</v>
      </c>
    </row>
    <row r="214" spans="1:6">
      <c r="A214" s="1" t="s">
        <v>345</v>
      </c>
      <c r="B214" s="3">
        <v>49689</v>
      </c>
      <c r="C214" s="1">
        <v>34</v>
      </c>
      <c r="D214" s="1">
        <v>2.59625</v>
      </c>
      <c r="E214" s="1">
        <v>33</v>
      </c>
      <c r="F214" s="1">
        <v>35.59625</v>
      </c>
    </row>
    <row r="215" spans="1:6">
      <c r="A215" s="1" t="s">
        <v>345</v>
      </c>
      <c r="B215" s="3">
        <v>49871</v>
      </c>
      <c r="C215" s="1">
        <v>34</v>
      </c>
      <c r="D215" s="1">
        <v>1.3175</v>
      </c>
      <c r="E215" s="1">
        <v>0</v>
      </c>
      <c r="F215" s="1">
        <v>1.3175</v>
      </c>
    </row>
    <row r="216" spans="1:6">
      <c r="A216" s="1" t="s">
        <v>345</v>
      </c>
      <c r="B216" s="3">
        <v>50055</v>
      </c>
      <c r="C216" s="1">
        <v>0</v>
      </c>
      <c r="D216" s="1">
        <v>1.3175</v>
      </c>
      <c r="E216" s="1">
        <v>34</v>
      </c>
      <c r="F216" s="1">
        <v>35.3175</v>
      </c>
    </row>
    <row r="217" spans="1:6">
      <c r="A217" s="1" t="s">
        <v>346</v>
      </c>
      <c r="B217" s="3">
        <v>46160</v>
      </c>
      <c r="C217" s="1">
        <v>100</v>
      </c>
      <c r="D217" s="1">
        <v>4.0625</v>
      </c>
      <c r="E217" s="1">
        <v>0</v>
      </c>
      <c r="F217" s="1">
        <v>4.0625</v>
      </c>
    </row>
    <row r="218" spans="1:6">
      <c r="A218" s="1" t="s">
        <v>346</v>
      </c>
      <c r="B218" s="3">
        <v>46344</v>
      </c>
      <c r="C218" s="1">
        <v>100</v>
      </c>
      <c r="D218" s="1">
        <v>4.0625</v>
      </c>
      <c r="E218" s="1">
        <v>0</v>
      </c>
      <c r="F218" s="1">
        <v>4.0625</v>
      </c>
    </row>
    <row r="219" spans="1:6">
      <c r="A219" s="1" t="s">
        <v>346</v>
      </c>
      <c r="B219" s="3">
        <v>46525</v>
      </c>
      <c r="C219" s="1">
        <v>100</v>
      </c>
      <c r="D219" s="1">
        <v>4.0625</v>
      </c>
      <c r="E219" s="1">
        <v>0</v>
      </c>
      <c r="F219" s="1">
        <v>4.0625</v>
      </c>
    </row>
    <row r="220" spans="1:6">
      <c r="A220" s="1" t="s">
        <v>346</v>
      </c>
      <c r="B220" s="3">
        <v>46709</v>
      </c>
      <c r="C220" s="1">
        <v>100</v>
      </c>
      <c r="D220" s="1">
        <v>4.0625</v>
      </c>
      <c r="E220" s="1">
        <v>0</v>
      </c>
      <c r="F220" s="1">
        <v>4.0625</v>
      </c>
    </row>
    <row r="221" spans="1:6">
      <c r="A221" s="1" t="s">
        <v>346</v>
      </c>
      <c r="B221" s="3">
        <v>46891</v>
      </c>
      <c r="C221" s="1">
        <v>100</v>
      </c>
      <c r="D221" s="1">
        <v>4.0625</v>
      </c>
      <c r="E221" s="1">
        <v>0</v>
      </c>
      <c r="F221" s="1">
        <v>4.0625</v>
      </c>
    </row>
    <row r="222" spans="1:6">
      <c r="A222" s="1" t="s">
        <v>346</v>
      </c>
      <c r="B222" s="3">
        <v>47078</v>
      </c>
      <c r="C222" s="1">
        <v>100</v>
      </c>
      <c r="D222" s="1">
        <v>4.0625</v>
      </c>
      <c r="E222" s="1">
        <v>0</v>
      </c>
      <c r="F222" s="1">
        <v>4.0625</v>
      </c>
    </row>
    <row r="223" spans="1:6">
      <c r="A223" s="1" t="s">
        <v>346</v>
      </c>
      <c r="B223" s="3">
        <v>47256</v>
      </c>
      <c r="C223" s="1">
        <v>100</v>
      </c>
      <c r="D223" s="1">
        <v>4.0625</v>
      </c>
      <c r="E223" s="1">
        <v>0</v>
      </c>
      <c r="F223" s="1">
        <v>4.0625</v>
      </c>
    </row>
    <row r="224" spans="1:6">
      <c r="A224" s="1" t="s">
        <v>346</v>
      </c>
      <c r="B224" s="3">
        <v>47441</v>
      </c>
      <c r="C224" s="1">
        <v>100</v>
      </c>
      <c r="D224" s="1">
        <v>4.0625</v>
      </c>
      <c r="E224" s="1">
        <v>0</v>
      </c>
      <c r="F224" s="1">
        <v>4.0625</v>
      </c>
    </row>
    <row r="225" spans="1:6">
      <c r="A225" s="1" t="s">
        <v>346</v>
      </c>
      <c r="B225" s="3">
        <v>47623</v>
      </c>
      <c r="C225" s="1">
        <v>100</v>
      </c>
      <c r="D225" s="1">
        <v>4.0625</v>
      </c>
      <c r="E225" s="1">
        <v>0</v>
      </c>
      <c r="F225" s="1">
        <v>4.0625</v>
      </c>
    </row>
    <row r="226" spans="1:6">
      <c r="A226" s="1" t="s">
        <v>346</v>
      </c>
      <c r="B226" s="3">
        <v>47805</v>
      </c>
      <c r="C226" s="1">
        <v>100</v>
      </c>
      <c r="D226" s="1">
        <v>4.0625</v>
      </c>
      <c r="E226" s="1">
        <v>0</v>
      </c>
      <c r="F226" s="1">
        <v>4.0625</v>
      </c>
    </row>
    <row r="227" spans="1:6">
      <c r="A227" s="1" t="s">
        <v>346</v>
      </c>
      <c r="B227" s="3">
        <v>47987</v>
      </c>
      <c r="C227" s="1">
        <v>0</v>
      </c>
      <c r="D227" s="1">
        <v>4.0625</v>
      </c>
      <c r="E227" s="1">
        <v>100</v>
      </c>
      <c r="F227" s="1">
        <v>104.0625</v>
      </c>
    </row>
    <row r="228" spans="1:6">
      <c r="A228" s="1" t="s">
        <v>347</v>
      </c>
      <c r="B228" s="3">
        <v>45992</v>
      </c>
      <c r="C228" s="1">
        <v>100</v>
      </c>
      <c r="D228" s="1">
        <v>4.25</v>
      </c>
      <c r="E228" s="1">
        <v>0</v>
      </c>
      <c r="F228" s="1">
        <v>4.25</v>
      </c>
    </row>
    <row r="229" spans="1:6">
      <c r="A229" s="1" t="s">
        <v>347</v>
      </c>
      <c r="B229" s="3">
        <v>46174</v>
      </c>
      <c r="C229" s="1">
        <v>100</v>
      </c>
      <c r="D229" s="1">
        <v>4.25</v>
      </c>
      <c r="E229" s="1">
        <v>0</v>
      </c>
      <c r="F229" s="1">
        <v>4.25</v>
      </c>
    </row>
    <row r="230" spans="1:6">
      <c r="A230" s="1" t="s">
        <v>347</v>
      </c>
      <c r="B230" s="3">
        <v>46356</v>
      </c>
      <c r="C230" s="1">
        <v>100</v>
      </c>
      <c r="D230" s="1">
        <v>4.25</v>
      </c>
      <c r="E230" s="1">
        <v>0</v>
      </c>
      <c r="F230" s="1">
        <v>4.25</v>
      </c>
    </row>
    <row r="231" spans="1:6">
      <c r="A231" s="1" t="s">
        <v>347</v>
      </c>
      <c r="B231" s="3">
        <v>46538</v>
      </c>
      <c r="C231" s="1">
        <v>100</v>
      </c>
      <c r="D231" s="1">
        <v>4.25</v>
      </c>
      <c r="E231" s="1">
        <v>0</v>
      </c>
      <c r="F231" s="1">
        <v>4.25</v>
      </c>
    </row>
    <row r="232" spans="1:6">
      <c r="A232" s="1" t="s">
        <v>347</v>
      </c>
      <c r="B232" s="3">
        <v>46721</v>
      </c>
      <c r="C232" s="1">
        <v>100</v>
      </c>
      <c r="D232" s="1">
        <v>4.25</v>
      </c>
      <c r="E232" s="1">
        <v>0</v>
      </c>
      <c r="F232" s="1">
        <v>4.25</v>
      </c>
    </row>
    <row r="233" spans="1:6">
      <c r="A233" s="1" t="s">
        <v>347</v>
      </c>
      <c r="B233" s="3">
        <v>46903</v>
      </c>
      <c r="C233" s="1">
        <v>100</v>
      </c>
      <c r="D233" s="1">
        <v>4.25</v>
      </c>
      <c r="E233" s="1">
        <v>0</v>
      </c>
      <c r="F233" s="1">
        <v>4.25</v>
      </c>
    </row>
    <row r="234" spans="1:6">
      <c r="A234" s="1" t="s">
        <v>347</v>
      </c>
      <c r="B234" s="3">
        <v>47087</v>
      </c>
      <c r="C234" s="1">
        <v>100</v>
      </c>
      <c r="D234" s="1">
        <v>4.25</v>
      </c>
      <c r="E234" s="1">
        <v>0</v>
      </c>
      <c r="F234" s="1">
        <v>4.25</v>
      </c>
    </row>
    <row r="235" spans="1:6">
      <c r="A235" s="1" t="s">
        <v>347</v>
      </c>
      <c r="B235" s="3">
        <v>47268</v>
      </c>
      <c r="C235" s="1">
        <v>100</v>
      </c>
      <c r="D235" s="1">
        <v>4.25</v>
      </c>
      <c r="E235" s="1">
        <v>0</v>
      </c>
      <c r="F235" s="1">
        <v>4.25</v>
      </c>
    </row>
    <row r="236" spans="1:6">
      <c r="A236" s="1" t="s">
        <v>347</v>
      </c>
      <c r="B236" s="3">
        <v>47452</v>
      </c>
      <c r="C236" s="1">
        <v>100</v>
      </c>
      <c r="D236" s="1">
        <v>4.25</v>
      </c>
      <c r="E236" s="1">
        <v>0</v>
      </c>
      <c r="F236" s="1">
        <v>4.25</v>
      </c>
    </row>
    <row r="237" spans="1:6">
      <c r="A237" s="1" t="s">
        <v>347</v>
      </c>
      <c r="B237" s="3">
        <v>47633</v>
      </c>
      <c r="C237" s="1">
        <v>100</v>
      </c>
      <c r="D237" s="1">
        <v>4.25</v>
      </c>
      <c r="E237" s="1">
        <v>0</v>
      </c>
      <c r="F237" s="1">
        <v>4.25</v>
      </c>
    </row>
    <row r="238" spans="1:6">
      <c r="A238" s="1" t="s">
        <v>347</v>
      </c>
      <c r="B238" s="3">
        <v>47819</v>
      </c>
      <c r="C238" s="1">
        <v>100</v>
      </c>
      <c r="D238" s="1">
        <v>4.25</v>
      </c>
      <c r="E238" s="1">
        <v>0</v>
      </c>
      <c r="F238" s="1">
        <v>4.25</v>
      </c>
    </row>
    <row r="239" spans="1:6">
      <c r="A239" s="1" t="s">
        <v>347</v>
      </c>
      <c r="B239" s="3">
        <v>47998</v>
      </c>
      <c r="C239" s="1">
        <v>100</v>
      </c>
      <c r="D239" s="1">
        <v>4.25</v>
      </c>
      <c r="E239" s="1">
        <v>0</v>
      </c>
      <c r="F239" s="1">
        <v>4.25</v>
      </c>
    </row>
    <row r="240" spans="1:6">
      <c r="A240" s="1" t="s">
        <v>347</v>
      </c>
      <c r="B240" s="3">
        <v>48183</v>
      </c>
      <c r="C240" s="1">
        <v>100</v>
      </c>
      <c r="D240" s="1">
        <v>4.25</v>
      </c>
      <c r="E240" s="1">
        <v>0</v>
      </c>
      <c r="F240" s="1">
        <v>4.25</v>
      </c>
    </row>
    <row r="241" spans="1:6">
      <c r="A241" s="1" t="s">
        <v>347</v>
      </c>
      <c r="B241" s="3">
        <v>48365</v>
      </c>
      <c r="C241" s="1">
        <v>0</v>
      </c>
      <c r="D241" s="1">
        <v>4.25</v>
      </c>
      <c r="E241" s="1">
        <v>100</v>
      </c>
      <c r="F241" s="1">
        <v>104.25</v>
      </c>
    </row>
    <row r="242" spans="1:6">
      <c r="A242" s="1" t="s">
        <v>348</v>
      </c>
      <c r="B242" s="3">
        <v>46476</v>
      </c>
      <c r="C242" s="1">
        <v>100</v>
      </c>
      <c r="D242" s="1">
        <v>5.6625</v>
      </c>
      <c r="E242" s="1">
        <v>0</v>
      </c>
      <c r="F242" s="1">
        <v>5.6625</v>
      </c>
    </row>
    <row r="243" spans="1:6">
      <c r="A243" s="1" t="s">
        <v>348</v>
      </c>
      <c r="B243" s="3">
        <v>46660</v>
      </c>
      <c r="C243" s="1">
        <v>100</v>
      </c>
      <c r="D243" s="1">
        <v>3.775</v>
      </c>
      <c r="E243" s="1">
        <v>0</v>
      </c>
      <c r="F243" s="1">
        <v>3.775</v>
      </c>
    </row>
    <row r="244" spans="1:6">
      <c r="A244" s="1" t="s">
        <v>348</v>
      </c>
      <c r="B244" s="3">
        <v>46842</v>
      </c>
      <c r="C244" s="1">
        <v>100</v>
      </c>
      <c r="D244" s="1">
        <v>3.775</v>
      </c>
      <c r="E244" s="1">
        <v>0</v>
      </c>
      <c r="F244" s="1">
        <v>3.775</v>
      </c>
    </row>
    <row r="245" spans="1:6">
      <c r="A245" s="1" t="s">
        <v>348</v>
      </c>
      <c r="B245" s="3">
        <v>47028</v>
      </c>
      <c r="C245" s="1">
        <v>100</v>
      </c>
      <c r="D245" s="1">
        <v>3.775</v>
      </c>
      <c r="E245" s="1">
        <v>0</v>
      </c>
      <c r="F245" s="1">
        <v>3.775</v>
      </c>
    </row>
    <row r="246" spans="1:6">
      <c r="A246" s="1" t="s">
        <v>348</v>
      </c>
      <c r="B246" s="3">
        <v>47207</v>
      </c>
      <c r="C246" s="1">
        <v>100</v>
      </c>
      <c r="D246" s="1">
        <v>3.775</v>
      </c>
      <c r="E246" s="1">
        <v>0</v>
      </c>
      <c r="F246" s="1">
        <v>3.775</v>
      </c>
    </row>
    <row r="247" spans="1:6">
      <c r="A247" s="1" t="s">
        <v>348</v>
      </c>
      <c r="B247" s="3">
        <v>47392</v>
      </c>
      <c r="C247" s="1">
        <v>100</v>
      </c>
      <c r="D247" s="1">
        <v>3.775</v>
      </c>
      <c r="E247" s="1">
        <v>0</v>
      </c>
      <c r="F247" s="1">
        <v>3.775</v>
      </c>
    </row>
    <row r="248" spans="1:6">
      <c r="A248" s="1" t="s">
        <v>348</v>
      </c>
      <c r="B248" s="3">
        <v>47574</v>
      </c>
      <c r="C248" s="1">
        <v>100</v>
      </c>
      <c r="D248" s="1">
        <v>3.775</v>
      </c>
      <c r="E248" s="1">
        <v>0</v>
      </c>
      <c r="F248" s="1">
        <v>3.775</v>
      </c>
    </row>
    <row r="249" spans="1:6">
      <c r="A249" s="1" t="s">
        <v>348</v>
      </c>
      <c r="B249" s="3">
        <v>47756</v>
      </c>
      <c r="C249" s="1">
        <v>100</v>
      </c>
      <c r="D249" s="1">
        <v>3.775</v>
      </c>
      <c r="E249" s="1">
        <v>0</v>
      </c>
      <c r="F249" s="1">
        <v>3.775</v>
      </c>
    </row>
    <row r="250" spans="1:6">
      <c r="A250" s="1" t="s">
        <v>348</v>
      </c>
      <c r="B250" s="3">
        <v>47938</v>
      </c>
      <c r="C250" s="1">
        <v>100</v>
      </c>
      <c r="D250" s="1">
        <v>3.775</v>
      </c>
      <c r="E250" s="1">
        <v>0</v>
      </c>
      <c r="F250" s="1">
        <v>3.775</v>
      </c>
    </row>
    <row r="251" spans="1:6">
      <c r="A251" s="1" t="s">
        <v>348</v>
      </c>
      <c r="B251" s="3">
        <v>48121</v>
      </c>
      <c r="C251" s="1">
        <v>100</v>
      </c>
      <c r="D251" s="1">
        <v>3.775</v>
      </c>
      <c r="E251" s="1">
        <v>0</v>
      </c>
      <c r="F251" s="1">
        <v>3.775</v>
      </c>
    </row>
    <row r="252" spans="1:6">
      <c r="A252" s="1" t="s">
        <v>348</v>
      </c>
      <c r="B252" s="3">
        <v>48303</v>
      </c>
      <c r="C252" s="1">
        <v>100</v>
      </c>
      <c r="D252" s="1">
        <v>3.775</v>
      </c>
      <c r="E252" s="1">
        <v>0</v>
      </c>
      <c r="F252" s="1">
        <v>3.775</v>
      </c>
    </row>
    <row r="253" spans="1:6">
      <c r="A253" s="1" t="s">
        <v>348</v>
      </c>
      <c r="B253" s="3">
        <v>48487</v>
      </c>
      <c r="C253" s="1">
        <v>100</v>
      </c>
      <c r="D253" s="1">
        <v>3.775</v>
      </c>
      <c r="E253" s="1">
        <v>0</v>
      </c>
      <c r="F253" s="1">
        <v>3.775</v>
      </c>
    </row>
    <row r="254" spans="1:6">
      <c r="A254" s="1" t="s">
        <v>348</v>
      </c>
      <c r="B254" s="3">
        <v>48668</v>
      </c>
      <c r="C254" s="1">
        <v>100</v>
      </c>
      <c r="D254" s="1">
        <v>3.775</v>
      </c>
      <c r="E254" s="1">
        <v>0</v>
      </c>
      <c r="F254" s="1">
        <v>3.775</v>
      </c>
    </row>
    <row r="255" spans="1:6">
      <c r="A255" s="1" t="s">
        <v>348</v>
      </c>
      <c r="B255" s="3">
        <v>48852</v>
      </c>
      <c r="C255" s="1">
        <v>100</v>
      </c>
      <c r="D255" s="1">
        <v>3.775</v>
      </c>
      <c r="E255" s="1">
        <v>0</v>
      </c>
      <c r="F255" s="1">
        <v>3.775</v>
      </c>
    </row>
    <row r="256" spans="1:6">
      <c r="A256" s="1" t="s">
        <v>348</v>
      </c>
      <c r="B256" s="3">
        <v>49033</v>
      </c>
      <c r="C256" s="1">
        <v>100</v>
      </c>
      <c r="D256" s="1">
        <v>3.775</v>
      </c>
      <c r="E256" s="1">
        <v>0</v>
      </c>
      <c r="F256" s="1">
        <v>3.775</v>
      </c>
    </row>
    <row r="257" spans="1:6">
      <c r="A257" s="1" t="s">
        <v>348</v>
      </c>
      <c r="B257" s="3">
        <v>49219</v>
      </c>
      <c r="C257" s="1">
        <v>100</v>
      </c>
      <c r="D257" s="1">
        <v>3.775</v>
      </c>
      <c r="E257" s="1">
        <v>0</v>
      </c>
      <c r="F257" s="1">
        <v>3.775</v>
      </c>
    </row>
    <row r="258" spans="1:6">
      <c r="A258" s="1" t="s">
        <v>348</v>
      </c>
      <c r="B258" s="3">
        <v>49398</v>
      </c>
      <c r="C258" s="1">
        <v>100</v>
      </c>
      <c r="D258" s="1">
        <v>3.775</v>
      </c>
      <c r="E258" s="1">
        <v>0</v>
      </c>
      <c r="F258" s="1">
        <v>3.775</v>
      </c>
    </row>
    <row r="259" spans="1:6">
      <c r="A259" s="1" t="s">
        <v>348</v>
      </c>
      <c r="B259" s="3">
        <v>49583</v>
      </c>
      <c r="C259" s="1">
        <v>67</v>
      </c>
      <c r="D259" s="1">
        <v>3.775</v>
      </c>
      <c r="E259" s="1">
        <v>33</v>
      </c>
      <c r="F259" s="1">
        <v>36.775</v>
      </c>
    </row>
    <row r="260" spans="1:6">
      <c r="A260" s="1" t="s">
        <v>348</v>
      </c>
      <c r="B260" s="3">
        <v>49765</v>
      </c>
      <c r="C260" s="1">
        <v>67</v>
      </c>
      <c r="D260" s="1">
        <v>2.52925</v>
      </c>
      <c r="E260" s="1">
        <v>0</v>
      </c>
      <c r="F260" s="1">
        <v>2.52925</v>
      </c>
    </row>
    <row r="261" spans="1:6">
      <c r="A261" s="1" t="s">
        <v>348</v>
      </c>
      <c r="B261" s="3">
        <v>49948</v>
      </c>
      <c r="C261" s="1">
        <v>34</v>
      </c>
      <c r="D261" s="1">
        <v>2.52925</v>
      </c>
      <c r="E261" s="1">
        <v>33</v>
      </c>
      <c r="F261" s="1">
        <v>35.52925</v>
      </c>
    </row>
    <row r="262" spans="1:6">
      <c r="A262" s="1" t="s">
        <v>348</v>
      </c>
      <c r="B262" s="3">
        <v>50129</v>
      </c>
      <c r="C262" s="1">
        <v>34</v>
      </c>
      <c r="D262" s="1">
        <v>1.2835</v>
      </c>
      <c r="E262" s="1">
        <v>0</v>
      </c>
      <c r="F262" s="1">
        <v>1.2835</v>
      </c>
    </row>
    <row r="263" spans="1:6">
      <c r="A263" s="1" t="s">
        <v>348</v>
      </c>
      <c r="B263" s="3">
        <v>50313</v>
      </c>
      <c r="C263" s="1">
        <v>0</v>
      </c>
      <c r="D263" s="1">
        <v>1.2835</v>
      </c>
      <c r="E263" s="1">
        <v>34</v>
      </c>
      <c r="F263" s="1">
        <v>35.2835</v>
      </c>
    </row>
    <row r="264" spans="1:6">
      <c r="A264" s="1" t="s">
        <v>349</v>
      </c>
      <c r="B264" s="3">
        <v>46146</v>
      </c>
      <c r="C264" s="1">
        <v>100</v>
      </c>
      <c r="D264" s="1">
        <v>3.8125</v>
      </c>
      <c r="E264" s="1">
        <v>0</v>
      </c>
      <c r="F264" s="1">
        <v>3.8125</v>
      </c>
    </row>
    <row r="265" spans="1:6">
      <c r="A265" s="1" t="s">
        <v>349</v>
      </c>
      <c r="B265" s="3">
        <v>46329</v>
      </c>
      <c r="C265" s="1">
        <v>100</v>
      </c>
      <c r="D265" s="1">
        <v>3.8125</v>
      </c>
      <c r="E265" s="1">
        <v>0</v>
      </c>
      <c r="F265" s="1">
        <v>3.8125</v>
      </c>
    </row>
    <row r="266" spans="1:6">
      <c r="A266" s="1" t="s">
        <v>349</v>
      </c>
      <c r="B266" s="3">
        <v>46510</v>
      </c>
      <c r="C266" s="1">
        <v>100</v>
      </c>
      <c r="D266" s="1">
        <v>3.8125</v>
      </c>
      <c r="E266" s="1">
        <v>0</v>
      </c>
      <c r="F266" s="1">
        <v>3.8125</v>
      </c>
    </row>
    <row r="267" spans="1:6">
      <c r="A267" s="1" t="s">
        <v>349</v>
      </c>
      <c r="B267" s="3">
        <v>46694</v>
      </c>
      <c r="C267" s="1">
        <v>100</v>
      </c>
      <c r="D267" s="1">
        <v>3.8125</v>
      </c>
      <c r="E267" s="1">
        <v>0</v>
      </c>
      <c r="F267" s="1">
        <v>3.8125</v>
      </c>
    </row>
    <row r="268" spans="1:6">
      <c r="A268" s="1" t="s">
        <v>349</v>
      </c>
      <c r="B268" s="3">
        <v>46876</v>
      </c>
      <c r="C268" s="1">
        <v>100</v>
      </c>
      <c r="D268" s="1">
        <v>3.8125</v>
      </c>
      <c r="E268" s="1">
        <v>0</v>
      </c>
      <c r="F268" s="1">
        <v>3.8125</v>
      </c>
    </row>
    <row r="269" spans="1:6">
      <c r="A269" s="1" t="s">
        <v>349</v>
      </c>
      <c r="B269" s="3">
        <v>47060</v>
      </c>
      <c r="C269" s="1">
        <v>100</v>
      </c>
      <c r="D269" s="1">
        <v>3.8125</v>
      </c>
      <c r="E269" s="1">
        <v>0</v>
      </c>
      <c r="F269" s="1">
        <v>3.8125</v>
      </c>
    </row>
    <row r="270" spans="1:6">
      <c r="A270" s="1" t="s">
        <v>349</v>
      </c>
      <c r="B270" s="3">
        <v>47241</v>
      </c>
      <c r="C270" s="1">
        <v>100</v>
      </c>
      <c r="D270" s="1">
        <v>3.8125</v>
      </c>
      <c r="E270" s="1">
        <v>0</v>
      </c>
      <c r="F270" s="1">
        <v>3.8125</v>
      </c>
    </row>
    <row r="271" spans="1:6">
      <c r="A271" s="1" t="s">
        <v>349</v>
      </c>
      <c r="B271" s="3">
        <v>47427</v>
      </c>
      <c r="C271" s="1">
        <v>100</v>
      </c>
      <c r="D271" s="1">
        <v>3.8125</v>
      </c>
      <c r="E271" s="1">
        <v>0</v>
      </c>
      <c r="F271" s="1">
        <v>3.8125</v>
      </c>
    </row>
    <row r="272" spans="1:6">
      <c r="A272" s="1" t="s">
        <v>349</v>
      </c>
      <c r="B272" s="3">
        <v>47606</v>
      </c>
      <c r="C272" s="1">
        <v>100</v>
      </c>
      <c r="D272" s="1">
        <v>3.8125</v>
      </c>
      <c r="E272" s="1">
        <v>0</v>
      </c>
      <c r="F272" s="1">
        <v>3.8125</v>
      </c>
    </row>
    <row r="273" spans="1:6">
      <c r="A273" s="1" t="s">
        <v>349</v>
      </c>
      <c r="B273" s="3">
        <v>47791</v>
      </c>
      <c r="C273" s="1">
        <v>0</v>
      </c>
      <c r="D273" s="1">
        <v>3.8125</v>
      </c>
      <c r="E273" s="1">
        <v>100</v>
      </c>
      <c r="F273" s="1">
        <v>103.8125</v>
      </c>
    </row>
    <row r="274" spans="1:6">
      <c r="A274" s="1" t="s">
        <v>350</v>
      </c>
      <c r="B274" s="3">
        <v>45677</v>
      </c>
      <c r="C274" s="1">
        <v>100</v>
      </c>
      <c r="D274" s="1">
        <v>4.75</v>
      </c>
      <c r="E274" s="1">
        <v>0</v>
      </c>
      <c r="F274" s="1">
        <v>4.75</v>
      </c>
    </row>
    <row r="275" spans="1:6">
      <c r="A275" s="1" t="s">
        <v>350</v>
      </c>
      <c r="B275" s="3">
        <v>45856</v>
      </c>
      <c r="C275" s="1">
        <v>100</v>
      </c>
      <c r="D275" s="1">
        <v>4.75</v>
      </c>
      <c r="E275" s="1">
        <v>0</v>
      </c>
      <c r="F275" s="1">
        <v>4.75</v>
      </c>
    </row>
    <row r="276" spans="1:6">
      <c r="A276" s="1" t="s">
        <v>350</v>
      </c>
      <c r="B276" s="3">
        <v>46041</v>
      </c>
      <c r="C276" s="1">
        <v>100</v>
      </c>
      <c r="D276" s="1">
        <v>4.75</v>
      </c>
      <c r="E276" s="1">
        <v>0</v>
      </c>
      <c r="F276" s="1">
        <v>4.75</v>
      </c>
    </row>
    <row r="277" spans="1:6">
      <c r="A277" s="1" t="s">
        <v>350</v>
      </c>
      <c r="B277" s="3">
        <v>46223</v>
      </c>
      <c r="C277" s="1">
        <v>100</v>
      </c>
      <c r="D277" s="1">
        <v>4.75</v>
      </c>
      <c r="E277" s="1">
        <v>0</v>
      </c>
      <c r="F277" s="1">
        <v>4.75</v>
      </c>
    </row>
    <row r="278" spans="1:6">
      <c r="A278" s="1" t="s">
        <v>350</v>
      </c>
      <c r="B278" s="3">
        <v>46405</v>
      </c>
      <c r="C278" s="1">
        <v>100</v>
      </c>
      <c r="D278" s="1">
        <v>4.75</v>
      </c>
      <c r="E278" s="1">
        <v>0</v>
      </c>
      <c r="F278" s="1">
        <v>4.75</v>
      </c>
    </row>
    <row r="279" spans="1:6">
      <c r="A279" s="1" t="s">
        <v>350</v>
      </c>
      <c r="B279" s="3">
        <v>46587</v>
      </c>
      <c r="C279" s="1">
        <v>100</v>
      </c>
      <c r="D279" s="1">
        <v>4.75</v>
      </c>
      <c r="E279" s="1">
        <v>0</v>
      </c>
      <c r="F279" s="1">
        <v>4.75</v>
      </c>
    </row>
    <row r="280" spans="1:6">
      <c r="A280" s="1" t="s">
        <v>350</v>
      </c>
      <c r="B280" s="3">
        <v>46770</v>
      </c>
      <c r="C280" s="1">
        <v>100</v>
      </c>
      <c r="D280" s="1">
        <v>4.75</v>
      </c>
      <c r="E280" s="1">
        <v>0</v>
      </c>
      <c r="F280" s="1">
        <v>4.75</v>
      </c>
    </row>
    <row r="281" spans="1:6">
      <c r="A281" s="1" t="s">
        <v>350</v>
      </c>
      <c r="B281" s="3">
        <v>46952</v>
      </c>
      <c r="C281" s="1">
        <v>100</v>
      </c>
      <c r="D281" s="1">
        <v>4.75</v>
      </c>
      <c r="E281" s="1">
        <v>0</v>
      </c>
      <c r="F281" s="1">
        <v>4.75</v>
      </c>
    </row>
    <row r="282" spans="1:6">
      <c r="A282" s="1" t="s">
        <v>350</v>
      </c>
      <c r="B282" s="3">
        <v>47136</v>
      </c>
      <c r="C282" s="1">
        <v>100</v>
      </c>
      <c r="D282" s="1">
        <v>4.75</v>
      </c>
      <c r="E282" s="1">
        <v>0</v>
      </c>
      <c r="F282" s="1">
        <v>4.75</v>
      </c>
    </row>
    <row r="283" spans="1:6">
      <c r="A283" s="1" t="s">
        <v>350</v>
      </c>
      <c r="B283" s="3">
        <v>47317</v>
      </c>
      <c r="C283" s="1">
        <v>67</v>
      </c>
      <c r="D283" s="1">
        <v>4.75</v>
      </c>
      <c r="E283" s="1">
        <v>33</v>
      </c>
      <c r="F283" s="1">
        <v>37.75</v>
      </c>
    </row>
    <row r="284" spans="1:6">
      <c r="A284" s="1" t="s">
        <v>350</v>
      </c>
      <c r="B284" s="3">
        <v>47501</v>
      </c>
      <c r="C284" s="1">
        <v>67</v>
      </c>
      <c r="D284" s="1">
        <v>3.1825</v>
      </c>
      <c r="E284" s="1">
        <v>0</v>
      </c>
      <c r="F284" s="1">
        <v>3.1825</v>
      </c>
    </row>
    <row r="285" spans="1:6">
      <c r="A285" s="1" t="s">
        <v>350</v>
      </c>
      <c r="B285" s="3">
        <v>47682</v>
      </c>
      <c r="C285" s="1">
        <v>34</v>
      </c>
      <c r="D285" s="1">
        <v>3.1825</v>
      </c>
      <c r="E285" s="1">
        <v>33</v>
      </c>
      <c r="F285" s="1">
        <v>36.1825</v>
      </c>
    </row>
    <row r="286" spans="1:6">
      <c r="A286" s="1" t="s">
        <v>350</v>
      </c>
      <c r="B286" s="3">
        <v>47868</v>
      </c>
      <c r="C286" s="1">
        <v>34</v>
      </c>
      <c r="D286" s="1">
        <v>1.615</v>
      </c>
      <c r="E286" s="1">
        <v>0</v>
      </c>
      <c r="F286" s="1">
        <v>1.615</v>
      </c>
    </row>
    <row r="287" spans="1:6">
      <c r="A287" s="1" t="s">
        <v>350</v>
      </c>
      <c r="B287" s="3">
        <v>48047</v>
      </c>
      <c r="C287" s="1">
        <v>0</v>
      </c>
      <c r="D287" s="1">
        <v>1.615</v>
      </c>
      <c r="E287" s="1">
        <v>34</v>
      </c>
      <c r="F287" s="1">
        <v>35.615</v>
      </c>
    </row>
    <row r="288" spans="1:6">
      <c r="A288" s="1" t="s">
        <v>351</v>
      </c>
      <c r="B288" s="3">
        <v>46223</v>
      </c>
      <c r="C288" s="1">
        <v>100</v>
      </c>
      <c r="D288" s="1">
        <v>4.25</v>
      </c>
      <c r="E288" s="1">
        <v>0</v>
      </c>
      <c r="F288" s="1">
        <v>4.25</v>
      </c>
    </row>
    <row r="289" spans="1:6">
      <c r="A289" s="1" t="s">
        <v>351</v>
      </c>
      <c r="B289" s="3">
        <v>46407</v>
      </c>
      <c r="C289" s="1">
        <v>100</v>
      </c>
      <c r="D289" s="1">
        <v>4.25</v>
      </c>
      <c r="E289" s="1">
        <v>0</v>
      </c>
      <c r="F289" s="1">
        <v>4.25</v>
      </c>
    </row>
    <row r="290" spans="1:6">
      <c r="A290" s="1" t="s">
        <v>351</v>
      </c>
      <c r="B290" s="3">
        <v>46588</v>
      </c>
      <c r="C290" s="1">
        <v>100</v>
      </c>
      <c r="D290" s="1">
        <v>4.25</v>
      </c>
      <c r="E290" s="1">
        <v>0</v>
      </c>
      <c r="F290" s="1">
        <v>4.25</v>
      </c>
    </row>
    <row r="291" spans="1:6">
      <c r="A291" s="1" t="s">
        <v>351</v>
      </c>
      <c r="B291" s="3">
        <v>46772</v>
      </c>
      <c r="C291" s="1">
        <v>100</v>
      </c>
      <c r="D291" s="1">
        <v>4.25</v>
      </c>
      <c r="E291" s="1">
        <v>0</v>
      </c>
      <c r="F291" s="1">
        <v>4.25</v>
      </c>
    </row>
    <row r="292" spans="1:6">
      <c r="A292" s="1" t="s">
        <v>351</v>
      </c>
      <c r="B292" s="3">
        <v>46954</v>
      </c>
      <c r="C292" s="1">
        <v>100</v>
      </c>
      <c r="D292" s="1">
        <v>4.25</v>
      </c>
      <c r="E292" s="1">
        <v>0</v>
      </c>
      <c r="F292" s="1">
        <v>4.25</v>
      </c>
    </row>
    <row r="293" spans="1:6">
      <c r="A293" s="1" t="s">
        <v>351</v>
      </c>
      <c r="B293" s="3">
        <v>47140</v>
      </c>
      <c r="C293" s="1">
        <v>100</v>
      </c>
      <c r="D293" s="1">
        <v>4.25</v>
      </c>
      <c r="E293" s="1">
        <v>0</v>
      </c>
      <c r="F293" s="1">
        <v>4.25</v>
      </c>
    </row>
    <row r="294" spans="1:6">
      <c r="A294" s="1" t="s">
        <v>351</v>
      </c>
      <c r="B294" s="3">
        <v>47319</v>
      </c>
      <c r="C294" s="1">
        <v>100</v>
      </c>
      <c r="D294" s="1">
        <v>4.25</v>
      </c>
      <c r="E294" s="1">
        <v>0</v>
      </c>
      <c r="F294" s="1">
        <v>4.25</v>
      </c>
    </row>
    <row r="295" spans="1:6">
      <c r="A295" s="1" t="s">
        <v>351</v>
      </c>
      <c r="B295" s="3">
        <v>47504</v>
      </c>
      <c r="C295" s="1">
        <v>100</v>
      </c>
      <c r="D295" s="1">
        <v>4.25</v>
      </c>
      <c r="E295" s="1">
        <v>0</v>
      </c>
      <c r="F295" s="1">
        <v>4.25</v>
      </c>
    </row>
    <row r="296" spans="1:6">
      <c r="A296" s="1" t="s">
        <v>351</v>
      </c>
      <c r="B296" s="3">
        <v>47686</v>
      </c>
      <c r="C296" s="1">
        <v>100</v>
      </c>
      <c r="D296" s="1">
        <v>4.25</v>
      </c>
      <c r="E296" s="1">
        <v>0</v>
      </c>
      <c r="F296" s="1">
        <v>4.25</v>
      </c>
    </row>
    <row r="297" spans="1:6">
      <c r="A297" s="1" t="s">
        <v>351</v>
      </c>
      <c r="B297" s="3">
        <v>47868</v>
      </c>
      <c r="C297" s="1">
        <v>100</v>
      </c>
      <c r="D297" s="1">
        <v>4.25</v>
      </c>
      <c r="E297" s="1">
        <v>0</v>
      </c>
      <c r="F297" s="1">
        <v>4.25</v>
      </c>
    </row>
    <row r="298" spans="1:6">
      <c r="A298" s="1" t="s">
        <v>351</v>
      </c>
      <c r="B298" s="3">
        <v>48050</v>
      </c>
      <c r="C298" s="1">
        <v>100</v>
      </c>
      <c r="D298" s="1">
        <v>4.25</v>
      </c>
      <c r="E298" s="1">
        <v>0</v>
      </c>
      <c r="F298" s="1">
        <v>4.25</v>
      </c>
    </row>
    <row r="299" spans="1:6">
      <c r="A299" s="1" t="s">
        <v>351</v>
      </c>
      <c r="B299" s="3">
        <v>48233</v>
      </c>
      <c r="C299" s="1">
        <v>100</v>
      </c>
      <c r="D299" s="1">
        <v>4.25</v>
      </c>
      <c r="E299" s="1">
        <v>0</v>
      </c>
      <c r="F299" s="1">
        <v>4.25</v>
      </c>
    </row>
    <row r="300" spans="1:6">
      <c r="A300" s="1" t="s">
        <v>351</v>
      </c>
      <c r="B300" s="3">
        <v>48415</v>
      </c>
      <c r="C300" s="1">
        <v>100</v>
      </c>
      <c r="D300" s="1">
        <v>4.25</v>
      </c>
      <c r="E300" s="1">
        <v>0</v>
      </c>
      <c r="F300" s="1">
        <v>4.25</v>
      </c>
    </row>
    <row r="301" spans="1:6">
      <c r="A301" s="1" t="s">
        <v>351</v>
      </c>
      <c r="B301" s="3">
        <v>48599</v>
      </c>
      <c r="C301" s="1">
        <v>100</v>
      </c>
      <c r="D301" s="1">
        <v>4.25</v>
      </c>
      <c r="E301" s="1">
        <v>0</v>
      </c>
      <c r="F301" s="1">
        <v>4.25</v>
      </c>
    </row>
    <row r="302" spans="1:6">
      <c r="A302" s="1" t="s">
        <v>351</v>
      </c>
      <c r="B302" s="3">
        <v>48780</v>
      </c>
      <c r="C302" s="1">
        <v>100</v>
      </c>
      <c r="D302" s="1">
        <v>4.25</v>
      </c>
      <c r="E302" s="1">
        <v>0</v>
      </c>
      <c r="F302" s="1">
        <v>4.25</v>
      </c>
    </row>
    <row r="303" spans="1:6">
      <c r="A303" s="1" t="s">
        <v>351</v>
      </c>
      <c r="B303" s="3">
        <v>48964</v>
      </c>
      <c r="C303" s="1">
        <v>100</v>
      </c>
      <c r="D303" s="1">
        <v>4.25</v>
      </c>
      <c r="E303" s="1">
        <v>0</v>
      </c>
      <c r="F303" s="1">
        <v>4.25</v>
      </c>
    </row>
    <row r="304" spans="1:6">
      <c r="A304" s="1" t="s">
        <v>351</v>
      </c>
      <c r="B304" s="3">
        <v>49145</v>
      </c>
      <c r="C304" s="1">
        <v>100</v>
      </c>
      <c r="D304" s="1">
        <v>4.25</v>
      </c>
      <c r="E304" s="1">
        <v>0</v>
      </c>
      <c r="F304" s="1">
        <v>4.25</v>
      </c>
    </row>
    <row r="305" spans="1:6">
      <c r="A305" s="1" t="s">
        <v>351</v>
      </c>
      <c r="B305" s="3">
        <v>49331</v>
      </c>
      <c r="C305" s="1">
        <v>50</v>
      </c>
      <c r="D305" s="1">
        <v>4.25</v>
      </c>
      <c r="E305" s="1">
        <v>50</v>
      </c>
      <c r="F305" s="1">
        <v>54.25</v>
      </c>
    </row>
    <row r="306" spans="1:6">
      <c r="A306" s="1" t="s">
        <v>351</v>
      </c>
      <c r="B306" s="3">
        <v>49510</v>
      </c>
      <c r="C306" s="1">
        <v>50</v>
      </c>
      <c r="D306" s="1">
        <v>2.125</v>
      </c>
      <c r="E306" s="1">
        <v>0</v>
      </c>
      <c r="F306" s="1">
        <v>2.125</v>
      </c>
    </row>
    <row r="307" spans="1:6">
      <c r="A307" s="1" t="s">
        <v>351</v>
      </c>
      <c r="B307" s="3">
        <v>49695</v>
      </c>
      <c r="C307" s="1">
        <v>0</v>
      </c>
      <c r="D307" s="1">
        <v>2.125</v>
      </c>
      <c r="E307" s="1">
        <v>50</v>
      </c>
      <c r="F307" s="1">
        <v>52.125</v>
      </c>
    </row>
    <row r="308" spans="1:6">
      <c r="A308" s="1" t="s">
        <v>352</v>
      </c>
      <c r="B308" s="3">
        <v>45681</v>
      </c>
      <c r="C308" s="1">
        <v>100</v>
      </c>
      <c r="D308" s="1">
        <v>4.25</v>
      </c>
      <c r="E308" s="1">
        <v>0</v>
      </c>
      <c r="F308" s="1">
        <v>4.25</v>
      </c>
    </row>
    <row r="309" spans="1:6">
      <c r="A309" s="1" t="s">
        <v>352</v>
      </c>
      <c r="B309" s="3">
        <v>45862</v>
      </c>
      <c r="C309" s="1">
        <v>100</v>
      </c>
      <c r="D309" s="1">
        <v>4.25</v>
      </c>
      <c r="E309" s="1">
        <v>0</v>
      </c>
      <c r="F309" s="1">
        <v>4.25</v>
      </c>
    </row>
    <row r="310" spans="1:6">
      <c r="A310" s="1" t="s">
        <v>352</v>
      </c>
      <c r="B310" s="3">
        <v>46048</v>
      </c>
      <c r="C310" s="1">
        <v>100</v>
      </c>
      <c r="D310" s="1">
        <v>4.25</v>
      </c>
      <c r="E310" s="1">
        <v>0</v>
      </c>
      <c r="F310" s="1">
        <v>4.25</v>
      </c>
    </row>
    <row r="311" spans="1:6">
      <c r="A311" s="1" t="s">
        <v>352</v>
      </c>
      <c r="B311" s="3">
        <v>46227</v>
      </c>
      <c r="C311" s="1">
        <v>100</v>
      </c>
      <c r="D311" s="1">
        <v>4.25</v>
      </c>
      <c r="E311" s="1">
        <v>0</v>
      </c>
      <c r="F311" s="1">
        <v>4.25</v>
      </c>
    </row>
    <row r="312" spans="1:6">
      <c r="A312" s="1" t="s">
        <v>352</v>
      </c>
      <c r="B312" s="3">
        <v>46412</v>
      </c>
      <c r="C312" s="1">
        <v>100</v>
      </c>
      <c r="D312" s="1">
        <v>4.25</v>
      </c>
      <c r="E312" s="1">
        <v>0</v>
      </c>
      <c r="F312" s="1">
        <v>4.25</v>
      </c>
    </row>
    <row r="313" spans="1:6">
      <c r="A313" s="1" t="s">
        <v>352</v>
      </c>
      <c r="B313" s="3">
        <v>46594</v>
      </c>
      <c r="C313" s="1">
        <v>100</v>
      </c>
      <c r="D313" s="1">
        <v>4.25</v>
      </c>
      <c r="E313" s="1">
        <v>0</v>
      </c>
      <c r="F313" s="1">
        <v>4.25</v>
      </c>
    </row>
    <row r="314" spans="1:6">
      <c r="A314" s="1" t="s">
        <v>352</v>
      </c>
      <c r="B314" s="3">
        <v>46776</v>
      </c>
      <c r="C314" s="1">
        <v>100</v>
      </c>
      <c r="D314" s="1">
        <v>4.25</v>
      </c>
      <c r="E314" s="1">
        <v>0</v>
      </c>
      <c r="F314" s="1">
        <v>4.25</v>
      </c>
    </row>
    <row r="315" spans="1:6">
      <c r="A315" s="1" t="s">
        <v>352</v>
      </c>
      <c r="B315" s="3">
        <v>46958</v>
      </c>
      <c r="C315" s="1">
        <v>100</v>
      </c>
      <c r="D315" s="1">
        <v>4.25</v>
      </c>
      <c r="E315" s="1">
        <v>0</v>
      </c>
      <c r="F315" s="1">
        <v>4.25</v>
      </c>
    </row>
    <row r="316" spans="1:6">
      <c r="A316" s="1" t="s">
        <v>352</v>
      </c>
      <c r="B316" s="3">
        <v>47142</v>
      </c>
      <c r="C316" s="1">
        <v>100</v>
      </c>
      <c r="D316" s="1">
        <v>4.25</v>
      </c>
      <c r="E316" s="1">
        <v>0</v>
      </c>
      <c r="F316" s="1">
        <v>4.25</v>
      </c>
    </row>
    <row r="317" spans="1:6">
      <c r="A317" s="1" t="s">
        <v>352</v>
      </c>
      <c r="B317" s="3">
        <v>47323</v>
      </c>
      <c r="C317" s="1">
        <v>100</v>
      </c>
      <c r="D317" s="1">
        <v>4.25</v>
      </c>
      <c r="E317" s="1">
        <v>0</v>
      </c>
      <c r="F317" s="1">
        <v>4.25</v>
      </c>
    </row>
    <row r="318" spans="1:6">
      <c r="A318" s="1" t="s">
        <v>352</v>
      </c>
      <c r="B318" s="3">
        <v>47507</v>
      </c>
      <c r="C318" s="1">
        <v>100</v>
      </c>
      <c r="D318" s="1">
        <v>4.25</v>
      </c>
      <c r="E318" s="1">
        <v>0</v>
      </c>
      <c r="F318" s="1">
        <v>4.25</v>
      </c>
    </row>
    <row r="319" spans="1:6">
      <c r="A319" s="1" t="s">
        <v>352</v>
      </c>
      <c r="B319" s="3">
        <v>47688</v>
      </c>
      <c r="C319" s="1">
        <v>100</v>
      </c>
      <c r="D319" s="1">
        <v>4.25</v>
      </c>
      <c r="E319" s="1">
        <v>0</v>
      </c>
      <c r="F319" s="1">
        <v>4.25</v>
      </c>
    </row>
    <row r="320" spans="1:6">
      <c r="A320" s="1" t="s">
        <v>352</v>
      </c>
      <c r="B320" s="3">
        <v>47872</v>
      </c>
      <c r="C320" s="1">
        <v>100</v>
      </c>
      <c r="D320" s="1">
        <v>4.25</v>
      </c>
      <c r="E320" s="1">
        <v>0</v>
      </c>
      <c r="F320" s="1">
        <v>4.25</v>
      </c>
    </row>
    <row r="321" spans="1:6">
      <c r="A321" s="1" t="s">
        <v>352</v>
      </c>
      <c r="B321" s="3">
        <v>48053</v>
      </c>
      <c r="C321" s="1">
        <v>0</v>
      </c>
      <c r="D321" s="1">
        <v>4.25</v>
      </c>
      <c r="E321" s="1">
        <v>100</v>
      </c>
      <c r="F321" s="1">
        <v>104.25</v>
      </c>
    </row>
    <row r="322" spans="1:6">
      <c r="A322" s="1" t="s">
        <v>353</v>
      </c>
      <c r="B322" s="3">
        <v>46162</v>
      </c>
      <c r="C322" s="1">
        <v>100</v>
      </c>
      <c r="D322" s="1">
        <v>3.875</v>
      </c>
      <c r="E322" s="1">
        <v>0</v>
      </c>
      <c r="F322" s="1">
        <v>3.875</v>
      </c>
    </row>
    <row r="323" spans="1:6">
      <c r="A323" s="1" t="s">
        <v>353</v>
      </c>
      <c r="B323" s="3">
        <v>46346</v>
      </c>
      <c r="C323" s="1">
        <v>100</v>
      </c>
      <c r="D323" s="1">
        <v>3.875</v>
      </c>
      <c r="E323" s="1">
        <v>0</v>
      </c>
      <c r="F323" s="1">
        <v>3.875</v>
      </c>
    </row>
    <row r="324" spans="1:6">
      <c r="A324" s="1" t="s">
        <v>353</v>
      </c>
      <c r="B324" s="3">
        <v>46527</v>
      </c>
      <c r="C324" s="1">
        <v>100</v>
      </c>
      <c r="D324" s="1">
        <v>3.875</v>
      </c>
      <c r="E324" s="1">
        <v>0</v>
      </c>
      <c r="F324" s="1">
        <v>3.875</v>
      </c>
    </row>
    <row r="325" spans="1:6">
      <c r="A325" s="1" t="s">
        <v>353</v>
      </c>
      <c r="B325" s="3">
        <v>46713</v>
      </c>
      <c r="C325" s="1">
        <v>100</v>
      </c>
      <c r="D325" s="1">
        <v>3.875</v>
      </c>
      <c r="E325" s="1">
        <v>0</v>
      </c>
      <c r="F325" s="1">
        <v>3.875</v>
      </c>
    </row>
    <row r="326" spans="1:6">
      <c r="A326" s="1" t="s">
        <v>353</v>
      </c>
      <c r="B326" s="3">
        <v>46895</v>
      </c>
      <c r="C326" s="1">
        <v>100</v>
      </c>
      <c r="D326" s="1">
        <v>3.875</v>
      </c>
      <c r="E326" s="1">
        <v>0</v>
      </c>
      <c r="F326" s="1">
        <v>3.875</v>
      </c>
    </row>
    <row r="327" spans="1:6">
      <c r="A327" s="1" t="s">
        <v>353</v>
      </c>
      <c r="B327" s="3">
        <v>47078</v>
      </c>
      <c r="C327" s="1">
        <v>100</v>
      </c>
      <c r="D327" s="1">
        <v>3.875</v>
      </c>
      <c r="E327" s="1">
        <v>0</v>
      </c>
      <c r="F327" s="1">
        <v>3.875</v>
      </c>
    </row>
    <row r="328" spans="1:6">
      <c r="A328" s="1" t="s">
        <v>353</v>
      </c>
      <c r="B328" s="3">
        <v>47259</v>
      </c>
      <c r="C328" s="1">
        <v>100</v>
      </c>
      <c r="D328" s="1">
        <v>3.875</v>
      </c>
      <c r="E328" s="1">
        <v>0</v>
      </c>
      <c r="F328" s="1">
        <v>3.875</v>
      </c>
    </row>
    <row r="329" spans="1:6">
      <c r="A329" s="1" t="s">
        <v>353</v>
      </c>
      <c r="B329" s="3">
        <v>47443</v>
      </c>
      <c r="C329" s="1">
        <v>100</v>
      </c>
      <c r="D329" s="1">
        <v>3.875</v>
      </c>
      <c r="E329" s="1">
        <v>0</v>
      </c>
      <c r="F329" s="1">
        <v>3.875</v>
      </c>
    </row>
    <row r="330" spans="1:6">
      <c r="A330" s="1" t="s">
        <v>353</v>
      </c>
      <c r="B330" s="3">
        <v>47623</v>
      </c>
      <c r="C330" s="1">
        <v>100</v>
      </c>
      <c r="D330" s="1">
        <v>3.875</v>
      </c>
      <c r="E330" s="1">
        <v>0</v>
      </c>
      <c r="F330" s="1">
        <v>3.875</v>
      </c>
    </row>
    <row r="331" spans="1:6">
      <c r="A331" s="1" t="s">
        <v>353</v>
      </c>
      <c r="B331" s="3">
        <v>47808</v>
      </c>
      <c r="C331" s="1">
        <v>100</v>
      </c>
      <c r="D331" s="1">
        <v>3.875</v>
      </c>
      <c r="E331" s="1">
        <v>0</v>
      </c>
      <c r="F331" s="1">
        <v>3.875</v>
      </c>
    </row>
    <row r="332" spans="1:6">
      <c r="A332" s="1" t="s">
        <v>353</v>
      </c>
      <c r="B332" s="3">
        <v>47988</v>
      </c>
      <c r="C332" s="1">
        <v>100</v>
      </c>
      <c r="D332" s="1">
        <v>3.875</v>
      </c>
      <c r="E332" s="1">
        <v>0</v>
      </c>
      <c r="F332" s="1">
        <v>3.875</v>
      </c>
    </row>
    <row r="333" spans="1:6">
      <c r="A333" s="1" t="s">
        <v>353</v>
      </c>
      <c r="B333" s="3">
        <v>48172</v>
      </c>
      <c r="C333" s="1">
        <v>100</v>
      </c>
      <c r="D333" s="1">
        <v>3.875</v>
      </c>
      <c r="E333" s="1">
        <v>0</v>
      </c>
      <c r="F333" s="1">
        <v>3.875</v>
      </c>
    </row>
    <row r="334" spans="1:6">
      <c r="A334" s="1" t="s">
        <v>353</v>
      </c>
      <c r="B334" s="3">
        <v>48354</v>
      </c>
      <c r="C334" s="1">
        <v>100</v>
      </c>
      <c r="D334" s="1">
        <v>3.875</v>
      </c>
      <c r="E334" s="1">
        <v>0</v>
      </c>
      <c r="F334" s="1">
        <v>3.875</v>
      </c>
    </row>
    <row r="335" spans="1:6">
      <c r="A335" s="1" t="s">
        <v>353</v>
      </c>
      <c r="B335" s="3">
        <v>48540</v>
      </c>
      <c r="C335" s="1">
        <v>100</v>
      </c>
      <c r="D335" s="1">
        <v>3.875</v>
      </c>
      <c r="E335" s="1">
        <v>0</v>
      </c>
      <c r="F335" s="1">
        <v>3.875</v>
      </c>
    </row>
    <row r="336" spans="1:6">
      <c r="A336" s="1" t="s">
        <v>353</v>
      </c>
      <c r="B336" s="3">
        <v>48719</v>
      </c>
      <c r="C336" s="1">
        <v>100</v>
      </c>
      <c r="D336" s="1">
        <v>3.875</v>
      </c>
      <c r="E336" s="1">
        <v>0</v>
      </c>
      <c r="F336" s="1">
        <v>3.875</v>
      </c>
    </row>
    <row r="337" spans="1:6">
      <c r="A337" s="1" t="s">
        <v>353</v>
      </c>
      <c r="B337" s="3">
        <v>48904</v>
      </c>
      <c r="C337" s="1">
        <v>100</v>
      </c>
      <c r="D337" s="1">
        <v>3.875</v>
      </c>
      <c r="E337" s="1">
        <v>0</v>
      </c>
      <c r="F337" s="1">
        <v>3.875</v>
      </c>
    </row>
    <row r="338" spans="1:6">
      <c r="A338" s="1" t="s">
        <v>353</v>
      </c>
      <c r="B338" s="3">
        <v>49086</v>
      </c>
      <c r="C338" s="1">
        <v>100</v>
      </c>
      <c r="D338" s="1">
        <v>3.875</v>
      </c>
      <c r="E338" s="1">
        <v>0</v>
      </c>
      <c r="F338" s="1">
        <v>3.875</v>
      </c>
    </row>
    <row r="339" spans="1:6">
      <c r="A339" s="1" t="s">
        <v>353</v>
      </c>
      <c r="B339" s="3">
        <v>49269</v>
      </c>
      <c r="C339" s="1">
        <v>100</v>
      </c>
      <c r="D339" s="1">
        <v>3.875</v>
      </c>
      <c r="E339" s="1">
        <v>0</v>
      </c>
      <c r="F339" s="1">
        <v>3.875</v>
      </c>
    </row>
    <row r="340" spans="1:6">
      <c r="A340" s="1" t="s">
        <v>353</v>
      </c>
      <c r="B340" s="3">
        <v>49450</v>
      </c>
      <c r="C340" s="1">
        <v>100</v>
      </c>
      <c r="D340" s="1">
        <v>3.875</v>
      </c>
      <c r="E340" s="1">
        <v>0</v>
      </c>
      <c r="F340" s="1">
        <v>3.875</v>
      </c>
    </row>
    <row r="341" spans="1:6">
      <c r="A341" s="1" t="s">
        <v>353</v>
      </c>
      <c r="B341" s="3">
        <v>49633</v>
      </c>
      <c r="C341" s="1">
        <v>0</v>
      </c>
      <c r="D341" s="1">
        <v>3.875</v>
      </c>
      <c r="E341" s="1">
        <v>100</v>
      </c>
      <c r="F341" s="1">
        <v>103.875</v>
      </c>
    </row>
    <row r="342" spans="1:6">
      <c r="A342" s="1" t="s">
        <v>354</v>
      </c>
      <c r="B342" s="3">
        <v>46001</v>
      </c>
      <c r="C342" s="1">
        <v>100</v>
      </c>
      <c r="D342" s="1">
        <v>4.25</v>
      </c>
      <c r="E342" s="1">
        <v>0</v>
      </c>
      <c r="F342" s="1">
        <v>4.25</v>
      </c>
    </row>
    <row r="343" spans="1:6">
      <c r="A343" s="1" t="s">
        <v>354</v>
      </c>
      <c r="B343" s="3">
        <v>46183</v>
      </c>
      <c r="C343" s="1">
        <v>100</v>
      </c>
      <c r="D343" s="1">
        <v>4.25</v>
      </c>
      <c r="E343" s="1">
        <v>0</v>
      </c>
      <c r="F343" s="1">
        <v>4.25</v>
      </c>
    </row>
    <row r="344" spans="1:6">
      <c r="A344" s="1" t="s">
        <v>354</v>
      </c>
      <c r="B344" s="3">
        <v>46366</v>
      </c>
      <c r="C344" s="1">
        <v>100</v>
      </c>
      <c r="D344" s="1">
        <v>4.25</v>
      </c>
      <c r="E344" s="1">
        <v>0</v>
      </c>
      <c r="F344" s="1">
        <v>4.25</v>
      </c>
    </row>
    <row r="345" spans="1:6">
      <c r="A345" s="1" t="s">
        <v>354</v>
      </c>
      <c r="B345" s="3">
        <v>46548</v>
      </c>
      <c r="C345" s="1">
        <v>100</v>
      </c>
      <c r="D345" s="1">
        <v>4.25</v>
      </c>
      <c r="E345" s="1">
        <v>0</v>
      </c>
      <c r="F345" s="1">
        <v>4.25</v>
      </c>
    </row>
    <row r="346" spans="1:6">
      <c r="A346" s="1" t="s">
        <v>354</v>
      </c>
      <c r="B346" s="3">
        <v>46731</v>
      </c>
      <c r="C346" s="1">
        <v>100</v>
      </c>
      <c r="D346" s="1">
        <v>4.25</v>
      </c>
      <c r="E346" s="1">
        <v>0</v>
      </c>
      <c r="F346" s="1">
        <v>4.25</v>
      </c>
    </row>
    <row r="347" spans="1:6">
      <c r="A347" s="1" t="s">
        <v>354</v>
      </c>
      <c r="B347" s="3">
        <v>46916</v>
      </c>
      <c r="C347" s="1">
        <v>100</v>
      </c>
      <c r="D347" s="1">
        <v>4.25</v>
      </c>
      <c r="E347" s="1">
        <v>0</v>
      </c>
      <c r="F347" s="1">
        <v>4.25</v>
      </c>
    </row>
    <row r="348" spans="1:6">
      <c r="A348" s="1" t="s">
        <v>354</v>
      </c>
      <c r="B348" s="3">
        <v>47098</v>
      </c>
      <c r="C348" s="1">
        <v>100</v>
      </c>
      <c r="D348" s="1">
        <v>4.25</v>
      </c>
      <c r="E348" s="1">
        <v>0</v>
      </c>
      <c r="F348" s="1">
        <v>4.25</v>
      </c>
    </row>
    <row r="349" spans="1:6">
      <c r="A349" s="1" t="s">
        <v>354</v>
      </c>
      <c r="B349" s="3">
        <v>47280</v>
      </c>
      <c r="C349" s="1">
        <v>100</v>
      </c>
      <c r="D349" s="1">
        <v>4.25</v>
      </c>
      <c r="E349" s="1">
        <v>0</v>
      </c>
      <c r="F349" s="1">
        <v>4.25</v>
      </c>
    </row>
    <row r="350" spans="1:6">
      <c r="A350" s="1" t="s">
        <v>354</v>
      </c>
      <c r="B350" s="3">
        <v>47462</v>
      </c>
      <c r="C350" s="1">
        <v>100</v>
      </c>
      <c r="D350" s="1">
        <v>4.25</v>
      </c>
      <c r="E350" s="1">
        <v>0</v>
      </c>
      <c r="F350" s="1">
        <v>4.25</v>
      </c>
    </row>
    <row r="351" spans="1:6">
      <c r="A351" s="1" t="s">
        <v>354</v>
      </c>
      <c r="B351" s="3">
        <v>47644</v>
      </c>
      <c r="C351" s="1">
        <v>100</v>
      </c>
      <c r="D351" s="1">
        <v>4.25</v>
      </c>
      <c r="E351" s="1">
        <v>0</v>
      </c>
      <c r="F351" s="1">
        <v>4.25</v>
      </c>
    </row>
    <row r="352" spans="1:6">
      <c r="A352" s="1" t="s">
        <v>354</v>
      </c>
      <c r="B352" s="3">
        <v>47827</v>
      </c>
      <c r="C352" s="1">
        <v>100</v>
      </c>
      <c r="D352" s="1">
        <v>4.25</v>
      </c>
      <c r="E352" s="1">
        <v>0</v>
      </c>
      <c r="F352" s="1">
        <v>4.25</v>
      </c>
    </row>
    <row r="353" spans="1:6">
      <c r="A353" s="1" t="s">
        <v>354</v>
      </c>
      <c r="B353" s="3">
        <v>48009</v>
      </c>
      <c r="C353" s="1">
        <v>67</v>
      </c>
      <c r="D353" s="1">
        <v>4.25</v>
      </c>
      <c r="E353" s="1">
        <v>33</v>
      </c>
      <c r="F353" s="1">
        <v>37.25</v>
      </c>
    </row>
    <row r="354" spans="1:6">
      <c r="A354" s="1" t="s">
        <v>354</v>
      </c>
      <c r="B354" s="3">
        <v>48192</v>
      </c>
      <c r="C354" s="1">
        <v>67</v>
      </c>
      <c r="D354" s="1">
        <v>2.8475</v>
      </c>
      <c r="E354" s="1">
        <v>0</v>
      </c>
      <c r="F354" s="1">
        <v>2.8475</v>
      </c>
    </row>
    <row r="355" spans="1:6">
      <c r="A355" s="1" t="s">
        <v>354</v>
      </c>
      <c r="B355" s="3">
        <v>48375</v>
      </c>
      <c r="C355" s="1">
        <v>34</v>
      </c>
      <c r="D355" s="1">
        <v>2.8475</v>
      </c>
      <c r="E355" s="1">
        <v>33</v>
      </c>
      <c r="F355" s="1">
        <v>35.8475</v>
      </c>
    </row>
    <row r="356" spans="1:6">
      <c r="A356" s="1" t="s">
        <v>354</v>
      </c>
      <c r="B356" s="3">
        <v>48558</v>
      </c>
      <c r="C356" s="1">
        <v>34</v>
      </c>
      <c r="D356" s="1">
        <v>1.445</v>
      </c>
      <c r="E356" s="1">
        <v>0</v>
      </c>
      <c r="F356" s="1">
        <v>1.445</v>
      </c>
    </row>
    <row r="357" spans="1:6">
      <c r="A357" s="1" t="s">
        <v>354</v>
      </c>
      <c r="B357" s="3">
        <v>48740</v>
      </c>
      <c r="C357" s="1">
        <v>0</v>
      </c>
      <c r="D357" s="1">
        <v>1.445</v>
      </c>
      <c r="E357" s="1">
        <v>34</v>
      </c>
      <c r="F357" s="1">
        <v>35.445</v>
      </c>
    </row>
    <row r="358" spans="1:6">
      <c r="A358" s="1" t="s">
        <v>355</v>
      </c>
      <c r="B358" s="3">
        <v>45818</v>
      </c>
      <c r="C358" s="1">
        <v>100</v>
      </c>
      <c r="D358" s="1">
        <v>3.8125</v>
      </c>
      <c r="E358" s="1">
        <v>0</v>
      </c>
      <c r="F358" s="1">
        <v>3.8125</v>
      </c>
    </row>
    <row r="359" spans="1:6">
      <c r="A359" s="1" t="s">
        <v>355</v>
      </c>
      <c r="B359" s="3">
        <v>46001</v>
      </c>
      <c r="C359" s="1">
        <v>100</v>
      </c>
      <c r="D359" s="1">
        <v>3.8125</v>
      </c>
      <c r="E359" s="1">
        <v>0</v>
      </c>
      <c r="F359" s="1">
        <v>3.8125</v>
      </c>
    </row>
    <row r="360" spans="1:6">
      <c r="A360" s="1" t="s">
        <v>355</v>
      </c>
      <c r="B360" s="3">
        <v>46183</v>
      </c>
      <c r="C360" s="1">
        <v>100</v>
      </c>
      <c r="D360" s="1">
        <v>3.8125</v>
      </c>
      <c r="E360" s="1">
        <v>0</v>
      </c>
      <c r="F360" s="1">
        <v>3.8125</v>
      </c>
    </row>
    <row r="361" spans="1:6">
      <c r="A361" s="1" t="s">
        <v>355</v>
      </c>
      <c r="B361" s="3">
        <v>46366</v>
      </c>
      <c r="C361" s="1">
        <v>100</v>
      </c>
      <c r="D361" s="1">
        <v>3.8125</v>
      </c>
      <c r="E361" s="1">
        <v>0</v>
      </c>
      <c r="F361" s="1">
        <v>3.8125</v>
      </c>
    </row>
    <row r="362" spans="1:6">
      <c r="A362" s="1" t="s">
        <v>355</v>
      </c>
      <c r="B362" s="3">
        <v>46548</v>
      </c>
      <c r="C362" s="1">
        <v>100</v>
      </c>
      <c r="D362" s="1">
        <v>3.8125</v>
      </c>
      <c r="E362" s="1">
        <v>0</v>
      </c>
      <c r="F362" s="1">
        <v>3.8125</v>
      </c>
    </row>
    <row r="363" spans="1:6">
      <c r="A363" s="1" t="s">
        <v>355</v>
      </c>
      <c r="B363" s="3">
        <v>46731</v>
      </c>
      <c r="C363" s="1">
        <v>100</v>
      </c>
      <c r="D363" s="1">
        <v>3.8125</v>
      </c>
      <c r="E363" s="1">
        <v>0</v>
      </c>
      <c r="F363" s="1">
        <v>3.8125</v>
      </c>
    </row>
    <row r="364" spans="1:6">
      <c r="A364" s="1" t="s">
        <v>355</v>
      </c>
      <c r="B364" s="3">
        <v>46916</v>
      </c>
      <c r="C364" s="1">
        <v>100</v>
      </c>
      <c r="D364" s="1">
        <v>3.8125</v>
      </c>
      <c r="E364" s="1">
        <v>0</v>
      </c>
      <c r="F364" s="1">
        <v>3.8125</v>
      </c>
    </row>
    <row r="365" spans="1:6">
      <c r="A365" s="1" t="s">
        <v>355</v>
      </c>
      <c r="B365" s="3">
        <v>47098</v>
      </c>
      <c r="C365" s="1">
        <v>100</v>
      </c>
      <c r="D365" s="1">
        <v>3.8125</v>
      </c>
      <c r="E365" s="1">
        <v>0</v>
      </c>
      <c r="F365" s="1">
        <v>3.8125</v>
      </c>
    </row>
    <row r="366" spans="1:6">
      <c r="A366" s="1" t="s">
        <v>355</v>
      </c>
      <c r="B366" s="3">
        <v>47280</v>
      </c>
      <c r="C366" s="1">
        <v>100</v>
      </c>
      <c r="D366" s="1">
        <v>3.8125</v>
      </c>
      <c r="E366" s="1">
        <v>0</v>
      </c>
      <c r="F366" s="1">
        <v>3.8125</v>
      </c>
    </row>
    <row r="367" spans="1:6">
      <c r="A367" s="1" t="s">
        <v>355</v>
      </c>
      <c r="B367" s="3">
        <v>47462</v>
      </c>
      <c r="C367" s="1">
        <v>100</v>
      </c>
      <c r="D367" s="1">
        <v>3.8125</v>
      </c>
      <c r="E367" s="1">
        <v>0</v>
      </c>
      <c r="F367" s="1">
        <v>3.8125</v>
      </c>
    </row>
    <row r="368" spans="1:6">
      <c r="A368" s="1" t="s">
        <v>355</v>
      </c>
      <c r="B368" s="3">
        <v>47644</v>
      </c>
      <c r="C368" s="1">
        <v>100</v>
      </c>
      <c r="D368" s="1">
        <v>3.8125</v>
      </c>
      <c r="E368" s="1">
        <v>0</v>
      </c>
      <c r="F368" s="1">
        <v>3.8125</v>
      </c>
    </row>
    <row r="369" spans="1:6">
      <c r="A369" s="1" t="s">
        <v>355</v>
      </c>
      <c r="B369" s="3">
        <v>47827</v>
      </c>
      <c r="C369" s="1">
        <v>100</v>
      </c>
      <c r="D369" s="1">
        <v>3.8125</v>
      </c>
      <c r="E369" s="1">
        <v>0</v>
      </c>
      <c r="F369" s="1">
        <v>3.8125</v>
      </c>
    </row>
    <row r="370" spans="1:6">
      <c r="A370" s="1" t="s">
        <v>355</v>
      </c>
      <c r="B370" s="3">
        <v>48009</v>
      </c>
      <c r="C370" s="1">
        <v>100</v>
      </c>
      <c r="D370" s="1">
        <v>3.8125</v>
      </c>
      <c r="E370" s="1">
        <v>0</v>
      </c>
      <c r="F370" s="1">
        <v>3.8125</v>
      </c>
    </row>
    <row r="371" spans="1:6">
      <c r="A371" s="1" t="s">
        <v>355</v>
      </c>
      <c r="B371" s="3">
        <v>48192</v>
      </c>
      <c r="C371" s="1">
        <v>100</v>
      </c>
      <c r="D371" s="1">
        <v>3.8125</v>
      </c>
      <c r="E371" s="1">
        <v>0</v>
      </c>
      <c r="F371" s="1">
        <v>3.8125</v>
      </c>
    </row>
    <row r="372" spans="1:6">
      <c r="A372" s="1" t="s">
        <v>355</v>
      </c>
      <c r="B372" s="3">
        <v>48375</v>
      </c>
      <c r="C372" s="1">
        <v>100</v>
      </c>
      <c r="D372" s="1">
        <v>3.8125</v>
      </c>
      <c r="E372" s="1">
        <v>0</v>
      </c>
      <c r="F372" s="1">
        <v>3.8125</v>
      </c>
    </row>
    <row r="373" spans="1:6">
      <c r="A373" s="1" t="s">
        <v>355</v>
      </c>
      <c r="B373" s="3">
        <v>48558</v>
      </c>
      <c r="C373" s="1">
        <v>100</v>
      </c>
      <c r="D373" s="1">
        <v>3.8125</v>
      </c>
      <c r="E373" s="1">
        <v>0</v>
      </c>
      <c r="F373" s="1">
        <v>3.8125</v>
      </c>
    </row>
    <row r="374" spans="1:6">
      <c r="A374" s="1" t="s">
        <v>355</v>
      </c>
      <c r="B374" s="3">
        <v>48740</v>
      </c>
      <c r="C374" s="1">
        <v>100</v>
      </c>
      <c r="D374" s="1">
        <v>3.8125</v>
      </c>
      <c r="E374" s="1">
        <v>0</v>
      </c>
      <c r="F374" s="1">
        <v>3.8125</v>
      </c>
    </row>
    <row r="375" spans="1:6">
      <c r="A375" s="1" t="s">
        <v>355</v>
      </c>
      <c r="B375" s="3">
        <v>48925</v>
      </c>
      <c r="C375" s="1">
        <v>67</v>
      </c>
      <c r="D375" s="1">
        <v>3.8125</v>
      </c>
      <c r="E375" s="1">
        <v>33</v>
      </c>
      <c r="F375" s="1">
        <v>36.8125</v>
      </c>
    </row>
    <row r="376" spans="1:6">
      <c r="A376" s="1" t="s">
        <v>355</v>
      </c>
      <c r="B376" s="3">
        <v>49107</v>
      </c>
      <c r="C376" s="1">
        <v>67</v>
      </c>
      <c r="D376" s="1">
        <v>2.554375</v>
      </c>
      <c r="E376" s="1">
        <v>0</v>
      </c>
      <c r="F376" s="1">
        <v>2.554375</v>
      </c>
    </row>
    <row r="377" spans="1:6">
      <c r="A377" s="1" t="s">
        <v>355</v>
      </c>
      <c r="B377" s="3">
        <v>49289</v>
      </c>
      <c r="C377" s="1">
        <v>34</v>
      </c>
      <c r="D377" s="1">
        <v>2.554375</v>
      </c>
      <c r="E377" s="1">
        <v>33</v>
      </c>
      <c r="F377" s="1">
        <v>35.554375</v>
      </c>
    </row>
    <row r="378" spans="1:6">
      <c r="A378" s="1" t="s">
        <v>355</v>
      </c>
      <c r="B378" s="3">
        <v>49471</v>
      </c>
      <c r="C378" s="1">
        <v>34</v>
      </c>
      <c r="D378" s="1">
        <v>1.29625</v>
      </c>
      <c r="E378" s="1">
        <v>0</v>
      </c>
      <c r="F378" s="1">
        <v>1.29625</v>
      </c>
    </row>
    <row r="379" spans="1:6">
      <c r="A379" s="1" t="s">
        <v>355</v>
      </c>
      <c r="B379" s="3">
        <v>49653</v>
      </c>
      <c r="C379" s="1">
        <v>0</v>
      </c>
      <c r="D379" s="1">
        <v>1.29625</v>
      </c>
      <c r="E379" s="1">
        <v>34</v>
      </c>
      <c r="F379" s="1">
        <v>35.29625</v>
      </c>
    </row>
    <row r="380" spans="1:6">
      <c r="A380" s="1" t="s">
        <v>356</v>
      </c>
      <c r="B380" s="3">
        <v>46303</v>
      </c>
      <c r="C380" s="1">
        <v>100</v>
      </c>
      <c r="D380" s="1">
        <v>3.9375</v>
      </c>
      <c r="E380" s="1">
        <v>0</v>
      </c>
      <c r="F380" s="1">
        <v>3.9375</v>
      </c>
    </row>
    <row r="381" spans="1:6">
      <c r="A381" s="1" t="s">
        <v>356</v>
      </c>
      <c r="B381" s="3">
        <v>46485</v>
      </c>
      <c r="C381" s="1">
        <v>100</v>
      </c>
      <c r="D381" s="1">
        <v>3.9375</v>
      </c>
      <c r="E381" s="1">
        <v>0</v>
      </c>
      <c r="F381" s="1">
        <v>3.9375</v>
      </c>
    </row>
    <row r="382" spans="1:6">
      <c r="A382" s="1" t="s">
        <v>356</v>
      </c>
      <c r="B382" s="3">
        <v>46668</v>
      </c>
      <c r="C382" s="1">
        <v>100</v>
      </c>
      <c r="D382" s="1">
        <v>3.9375</v>
      </c>
      <c r="E382" s="1">
        <v>0</v>
      </c>
      <c r="F382" s="1">
        <v>3.9375</v>
      </c>
    </row>
    <row r="383" spans="1:6">
      <c r="A383" s="1" t="s">
        <v>356</v>
      </c>
      <c r="B383" s="3">
        <v>46853</v>
      </c>
      <c r="C383" s="1">
        <v>100</v>
      </c>
      <c r="D383" s="1">
        <v>3.9375</v>
      </c>
      <c r="E383" s="1">
        <v>0</v>
      </c>
      <c r="F383" s="1">
        <v>3.9375</v>
      </c>
    </row>
    <row r="384" spans="1:6">
      <c r="A384" s="1" t="s">
        <v>356</v>
      </c>
      <c r="B384" s="3">
        <v>47035</v>
      </c>
      <c r="C384" s="1">
        <v>100</v>
      </c>
      <c r="D384" s="1">
        <v>3.9375</v>
      </c>
      <c r="E384" s="1">
        <v>0</v>
      </c>
      <c r="F384" s="1">
        <v>3.9375</v>
      </c>
    </row>
    <row r="385" spans="1:6">
      <c r="A385" s="1" t="s">
        <v>356</v>
      </c>
      <c r="B385" s="3">
        <v>47217</v>
      </c>
      <c r="C385" s="1">
        <v>100</v>
      </c>
      <c r="D385" s="1">
        <v>3.9375</v>
      </c>
      <c r="E385" s="1">
        <v>0</v>
      </c>
      <c r="F385" s="1">
        <v>3.9375</v>
      </c>
    </row>
    <row r="386" spans="1:6">
      <c r="A386" s="1" t="s">
        <v>356</v>
      </c>
      <c r="B386" s="3">
        <v>47399</v>
      </c>
      <c r="C386" s="1">
        <v>100</v>
      </c>
      <c r="D386" s="1">
        <v>3.9375</v>
      </c>
      <c r="E386" s="1">
        <v>0</v>
      </c>
      <c r="F386" s="1">
        <v>3.9375</v>
      </c>
    </row>
    <row r="387" spans="1:6">
      <c r="A387" s="1" t="s">
        <v>356</v>
      </c>
      <c r="B387" s="3">
        <v>47581</v>
      </c>
      <c r="C387" s="1">
        <v>100</v>
      </c>
      <c r="D387" s="1">
        <v>3.9375</v>
      </c>
      <c r="E387" s="1">
        <v>0</v>
      </c>
      <c r="F387" s="1">
        <v>3.9375</v>
      </c>
    </row>
    <row r="388" spans="1:6">
      <c r="A388" s="1" t="s">
        <v>356</v>
      </c>
      <c r="B388" s="3">
        <v>47764</v>
      </c>
      <c r="C388" s="1">
        <v>100</v>
      </c>
      <c r="D388" s="1">
        <v>3.9375</v>
      </c>
      <c r="E388" s="1">
        <v>0</v>
      </c>
      <c r="F388" s="1">
        <v>3.9375</v>
      </c>
    </row>
    <row r="389" spans="1:6">
      <c r="A389" s="1" t="s">
        <v>356</v>
      </c>
      <c r="B389" s="3">
        <v>47946</v>
      </c>
      <c r="C389" s="1">
        <v>100</v>
      </c>
      <c r="D389" s="1">
        <v>3.9375</v>
      </c>
      <c r="E389" s="1">
        <v>0</v>
      </c>
      <c r="F389" s="1">
        <v>3.9375</v>
      </c>
    </row>
    <row r="390" spans="1:6">
      <c r="A390" s="1" t="s">
        <v>356</v>
      </c>
      <c r="B390" s="3">
        <v>48129</v>
      </c>
      <c r="C390" s="1">
        <v>100</v>
      </c>
      <c r="D390" s="1">
        <v>3.9375</v>
      </c>
      <c r="E390" s="1">
        <v>0</v>
      </c>
      <c r="F390" s="1">
        <v>3.9375</v>
      </c>
    </row>
    <row r="391" spans="1:6">
      <c r="A391" s="1" t="s">
        <v>356</v>
      </c>
      <c r="B391" s="3">
        <v>48312</v>
      </c>
      <c r="C391" s="1">
        <v>100</v>
      </c>
      <c r="D391" s="1">
        <v>3.9375</v>
      </c>
      <c r="E391" s="1">
        <v>0</v>
      </c>
      <c r="F391" s="1">
        <v>3.9375</v>
      </c>
    </row>
    <row r="392" spans="1:6">
      <c r="A392" s="1" t="s">
        <v>356</v>
      </c>
      <c r="B392" s="3">
        <v>48495</v>
      </c>
      <c r="C392" s="1">
        <v>100</v>
      </c>
      <c r="D392" s="1">
        <v>3.9375</v>
      </c>
      <c r="E392" s="1">
        <v>0</v>
      </c>
      <c r="F392" s="1">
        <v>3.9375</v>
      </c>
    </row>
    <row r="393" spans="1:6">
      <c r="A393" s="1" t="s">
        <v>356</v>
      </c>
      <c r="B393" s="3">
        <v>48677</v>
      </c>
      <c r="C393" s="1">
        <v>100</v>
      </c>
      <c r="D393" s="1">
        <v>3.9375</v>
      </c>
      <c r="E393" s="1">
        <v>0</v>
      </c>
      <c r="F393" s="1">
        <v>3.9375</v>
      </c>
    </row>
    <row r="394" spans="1:6">
      <c r="A394" s="1" t="s">
        <v>356</v>
      </c>
      <c r="B394" s="3">
        <v>48863</v>
      </c>
      <c r="C394" s="1">
        <v>100</v>
      </c>
      <c r="D394" s="1">
        <v>3.9375</v>
      </c>
      <c r="E394" s="1">
        <v>0</v>
      </c>
      <c r="F394" s="1">
        <v>3.9375</v>
      </c>
    </row>
    <row r="395" spans="1:6">
      <c r="A395" s="1" t="s">
        <v>356</v>
      </c>
      <c r="B395" s="3">
        <v>49044</v>
      </c>
      <c r="C395" s="1">
        <v>100</v>
      </c>
      <c r="D395" s="1">
        <v>3.9375</v>
      </c>
      <c r="E395" s="1">
        <v>0</v>
      </c>
      <c r="F395" s="1">
        <v>3.9375</v>
      </c>
    </row>
    <row r="396" spans="1:6">
      <c r="A396" s="1" t="s">
        <v>356</v>
      </c>
      <c r="B396" s="3">
        <v>49226</v>
      </c>
      <c r="C396" s="1">
        <v>100</v>
      </c>
      <c r="D396" s="1">
        <v>3.9375</v>
      </c>
      <c r="E396" s="1">
        <v>0</v>
      </c>
      <c r="F396" s="1">
        <v>3.9375</v>
      </c>
    </row>
    <row r="397" spans="1:6">
      <c r="A397" s="1" t="s">
        <v>356</v>
      </c>
      <c r="B397" s="3">
        <v>49408</v>
      </c>
      <c r="C397" s="1">
        <v>100</v>
      </c>
      <c r="D397" s="1">
        <v>3.9375</v>
      </c>
      <c r="E397" s="1">
        <v>0</v>
      </c>
      <c r="F397" s="1">
        <v>3.9375</v>
      </c>
    </row>
    <row r="398" spans="1:6">
      <c r="A398" s="1" t="s">
        <v>356</v>
      </c>
      <c r="B398" s="3">
        <v>49590</v>
      </c>
      <c r="C398" s="1">
        <v>100</v>
      </c>
      <c r="D398" s="1">
        <v>3.9375</v>
      </c>
      <c r="E398" s="1">
        <v>0</v>
      </c>
      <c r="F398" s="1">
        <v>3.9375</v>
      </c>
    </row>
    <row r="399" spans="1:6">
      <c r="A399" s="1" t="s">
        <v>356</v>
      </c>
      <c r="B399" s="3">
        <v>49773</v>
      </c>
      <c r="C399" s="1">
        <v>67</v>
      </c>
      <c r="D399" s="1">
        <v>3.9375</v>
      </c>
      <c r="E399" s="1">
        <v>33</v>
      </c>
      <c r="F399" s="1">
        <v>36.9375</v>
      </c>
    </row>
    <row r="400" spans="1:6">
      <c r="A400" s="1" t="s">
        <v>356</v>
      </c>
      <c r="B400" s="3">
        <v>49956</v>
      </c>
      <c r="C400" s="1">
        <v>67</v>
      </c>
      <c r="D400" s="1">
        <v>2.638125</v>
      </c>
      <c r="E400" s="1">
        <v>0</v>
      </c>
      <c r="F400" s="1">
        <v>2.638125</v>
      </c>
    </row>
    <row r="401" spans="1:6">
      <c r="A401" s="1" t="s">
        <v>356</v>
      </c>
      <c r="B401" s="3">
        <v>50138</v>
      </c>
      <c r="C401" s="1">
        <v>34</v>
      </c>
      <c r="D401" s="1">
        <v>2.638125</v>
      </c>
      <c r="E401" s="1">
        <v>33</v>
      </c>
      <c r="F401" s="1">
        <v>35.638125</v>
      </c>
    </row>
    <row r="402" spans="1:6">
      <c r="A402" s="1" t="s">
        <v>356</v>
      </c>
      <c r="B402" s="3">
        <v>50321</v>
      </c>
      <c r="C402" s="1">
        <v>34</v>
      </c>
      <c r="D402" s="1">
        <v>1.33875</v>
      </c>
      <c r="E402" s="1">
        <v>0</v>
      </c>
      <c r="F402" s="1">
        <v>1.33875</v>
      </c>
    </row>
    <row r="403" spans="1:6">
      <c r="A403" s="1" t="s">
        <v>356</v>
      </c>
      <c r="B403" s="3">
        <v>50503</v>
      </c>
      <c r="C403" s="1">
        <v>0</v>
      </c>
      <c r="D403" s="1">
        <v>1.33875</v>
      </c>
      <c r="E403" s="1">
        <v>34</v>
      </c>
      <c r="F403" s="1">
        <v>35.33875</v>
      </c>
    </row>
    <row r="404" spans="1:6">
      <c r="A404" s="1" t="s">
        <v>357</v>
      </c>
      <c r="B404" s="3">
        <v>44377</v>
      </c>
      <c r="C404" s="1">
        <v>100</v>
      </c>
      <c r="D404" s="1">
        <v>0.958333</v>
      </c>
      <c r="E404" s="1">
        <v>0</v>
      </c>
      <c r="F404" s="1">
        <v>0.958333</v>
      </c>
    </row>
    <row r="405" spans="1:6">
      <c r="A405" s="1" t="s">
        <v>357</v>
      </c>
      <c r="B405" s="3">
        <v>44560</v>
      </c>
      <c r="C405" s="1">
        <v>100</v>
      </c>
      <c r="D405" s="1">
        <v>1.25</v>
      </c>
      <c r="E405" s="1">
        <v>0</v>
      </c>
      <c r="F405" s="1">
        <v>1.25</v>
      </c>
    </row>
    <row r="406" spans="1:6">
      <c r="A406" s="1" t="s">
        <v>357</v>
      </c>
      <c r="B406" s="3">
        <v>44742</v>
      </c>
      <c r="C406" s="1">
        <v>100</v>
      </c>
      <c r="D406" s="1">
        <v>1.25</v>
      </c>
      <c r="E406" s="1">
        <v>0</v>
      </c>
      <c r="F406" s="1">
        <v>1.25</v>
      </c>
    </row>
    <row r="407" spans="1:6">
      <c r="A407" s="1" t="s">
        <v>357</v>
      </c>
      <c r="B407" s="3">
        <v>44925</v>
      </c>
      <c r="C407" s="1">
        <v>100</v>
      </c>
      <c r="D407" s="1">
        <v>1.25</v>
      </c>
      <c r="E407" s="1">
        <v>0</v>
      </c>
      <c r="F407" s="1">
        <v>1.25</v>
      </c>
    </row>
    <row r="408" spans="1:6">
      <c r="A408" s="1" t="s">
        <v>357</v>
      </c>
      <c r="B408" s="3">
        <v>45107</v>
      </c>
      <c r="C408" s="1">
        <v>100</v>
      </c>
      <c r="D408" s="1">
        <v>4.5</v>
      </c>
      <c r="E408" s="1">
        <v>0</v>
      </c>
      <c r="F408" s="1">
        <v>4.5</v>
      </c>
    </row>
    <row r="409" spans="1:6">
      <c r="A409" s="1" t="s">
        <v>357</v>
      </c>
      <c r="B409" s="3">
        <v>45293</v>
      </c>
      <c r="C409" s="1">
        <v>100</v>
      </c>
      <c r="D409" s="1">
        <v>4.5</v>
      </c>
      <c r="E409" s="1">
        <v>0</v>
      </c>
      <c r="F409" s="1">
        <v>4.5</v>
      </c>
    </row>
    <row r="410" spans="1:6">
      <c r="A410" s="1" t="s">
        <v>357</v>
      </c>
      <c r="B410" s="3">
        <v>45474</v>
      </c>
      <c r="C410" s="1">
        <v>100</v>
      </c>
      <c r="D410" s="1">
        <v>4.5</v>
      </c>
      <c r="E410" s="1">
        <v>0</v>
      </c>
      <c r="F410" s="1">
        <v>4.5</v>
      </c>
    </row>
    <row r="411" spans="1:6">
      <c r="A411" s="1" t="s">
        <v>357</v>
      </c>
      <c r="B411" s="3">
        <v>45656</v>
      </c>
      <c r="C411" s="1">
        <v>100</v>
      </c>
      <c r="D411" s="1">
        <v>4.5</v>
      </c>
      <c r="E411" s="1">
        <v>0</v>
      </c>
      <c r="F411" s="1">
        <v>4.5</v>
      </c>
    </row>
    <row r="412" spans="1:6">
      <c r="A412" s="1" t="s">
        <v>357</v>
      </c>
      <c r="B412" s="3">
        <v>45838</v>
      </c>
      <c r="C412" s="1">
        <v>100</v>
      </c>
      <c r="D412" s="1">
        <v>4.5</v>
      </c>
      <c r="E412" s="1">
        <v>0</v>
      </c>
      <c r="F412" s="1">
        <v>4.5</v>
      </c>
    </row>
    <row r="413" spans="1:6">
      <c r="A413" s="1" t="s">
        <v>357</v>
      </c>
      <c r="B413" s="3">
        <v>46021</v>
      </c>
      <c r="C413" s="1">
        <v>100</v>
      </c>
      <c r="D413" s="1">
        <v>4.5</v>
      </c>
      <c r="E413" s="1">
        <v>0</v>
      </c>
      <c r="F413" s="1">
        <v>4.5</v>
      </c>
    </row>
    <row r="414" spans="1:6">
      <c r="A414" s="1" t="s">
        <v>357</v>
      </c>
      <c r="B414" s="3">
        <v>46203</v>
      </c>
      <c r="C414" s="1">
        <v>85.7143</v>
      </c>
      <c r="D414" s="1">
        <v>4.5</v>
      </c>
      <c r="E414" s="1">
        <v>14.285714</v>
      </c>
      <c r="F414" s="1">
        <v>18.785714</v>
      </c>
    </row>
    <row r="415" spans="1:6">
      <c r="A415" s="1" t="s">
        <v>357</v>
      </c>
      <c r="B415" s="3">
        <v>46386</v>
      </c>
      <c r="C415" s="1">
        <v>71.4286</v>
      </c>
      <c r="D415" s="1">
        <v>3.857143</v>
      </c>
      <c r="E415" s="1">
        <v>14.285714</v>
      </c>
      <c r="F415" s="1">
        <v>18.142857</v>
      </c>
    </row>
    <row r="416" spans="1:6">
      <c r="A416" s="1" t="s">
        <v>357</v>
      </c>
      <c r="B416" s="3">
        <v>46568</v>
      </c>
      <c r="C416" s="1">
        <v>57.1429</v>
      </c>
      <c r="D416" s="1">
        <v>3.214286</v>
      </c>
      <c r="E416" s="1">
        <v>14.285714</v>
      </c>
      <c r="F416" s="1">
        <v>17.5</v>
      </c>
    </row>
    <row r="417" spans="1:6">
      <c r="A417" s="1" t="s">
        <v>357</v>
      </c>
      <c r="B417" s="3">
        <v>46751</v>
      </c>
      <c r="C417" s="1">
        <v>42.8571</v>
      </c>
      <c r="D417" s="1">
        <v>2.571429</v>
      </c>
      <c r="E417" s="1">
        <v>14.285714</v>
      </c>
      <c r="F417" s="1">
        <v>16.857143</v>
      </c>
    </row>
    <row r="418" spans="1:6">
      <c r="A418" s="1" t="s">
        <v>357</v>
      </c>
      <c r="B418" s="3">
        <v>46934</v>
      </c>
      <c r="C418" s="1">
        <v>28.5714</v>
      </c>
      <c r="D418" s="1">
        <v>1.928571</v>
      </c>
      <c r="E418" s="1">
        <v>14.285714</v>
      </c>
      <c r="F418" s="1">
        <v>16.214285</v>
      </c>
    </row>
    <row r="419" spans="1:6">
      <c r="A419" s="1" t="s">
        <v>357</v>
      </c>
      <c r="B419" s="3">
        <v>47120</v>
      </c>
      <c r="C419" s="1">
        <v>14.2857</v>
      </c>
      <c r="D419" s="1">
        <v>1.285714</v>
      </c>
      <c r="E419" s="1">
        <v>14.285714</v>
      </c>
      <c r="F419" s="1">
        <v>15.571428</v>
      </c>
    </row>
    <row r="420" spans="1:6">
      <c r="A420" s="1" t="s">
        <v>357</v>
      </c>
      <c r="B420" s="3">
        <v>47301</v>
      </c>
      <c r="C420" s="1">
        <v>0</v>
      </c>
      <c r="D420" s="1">
        <v>0.642857</v>
      </c>
      <c r="E420" s="1">
        <v>14.285716</v>
      </c>
      <c r="F420" s="1">
        <v>14.928573</v>
      </c>
    </row>
    <row r="421" spans="1:6">
      <c r="A421" s="1" t="s">
        <v>358</v>
      </c>
      <c r="B421" s="3">
        <v>45727</v>
      </c>
      <c r="C421" s="1">
        <v>100</v>
      </c>
      <c r="D421" s="1">
        <v>4.375</v>
      </c>
      <c r="E421" s="1">
        <v>0</v>
      </c>
      <c r="F421" s="1">
        <v>4.375</v>
      </c>
    </row>
    <row r="422" spans="1:6">
      <c r="A422" s="1" t="s">
        <v>358</v>
      </c>
      <c r="B422" s="3">
        <v>45911</v>
      </c>
      <c r="C422" s="1">
        <v>100</v>
      </c>
      <c r="D422" s="1">
        <v>4.375</v>
      </c>
      <c r="E422" s="1">
        <v>0</v>
      </c>
      <c r="F422" s="1">
        <v>4.375</v>
      </c>
    </row>
    <row r="423" spans="1:6">
      <c r="A423" s="1" t="s">
        <v>358</v>
      </c>
      <c r="B423" s="3">
        <v>46092</v>
      </c>
      <c r="C423" s="1">
        <v>100</v>
      </c>
      <c r="D423" s="1">
        <v>4.375</v>
      </c>
      <c r="E423" s="1">
        <v>0</v>
      </c>
      <c r="F423" s="1">
        <v>4.375</v>
      </c>
    </row>
    <row r="424" spans="1:6">
      <c r="A424" s="1" t="s">
        <v>358</v>
      </c>
      <c r="B424" s="3">
        <v>46276</v>
      </c>
      <c r="C424" s="1">
        <v>100</v>
      </c>
      <c r="D424" s="1">
        <v>4.375</v>
      </c>
      <c r="E424" s="1">
        <v>0</v>
      </c>
      <c r="F424" s="1">
        <v>4.375</v>
      </c>
    </row>
    <row r="425" spans="1:6">
      <c r="A425" s="1" t="s">
        <v>358</v>
      </c>
      <c r="B425" s="3">
        <v>46457</v>
      </c>
      <c r="C425" s="1">
        <v>100</v>
      </c>
      <c r="D425" s="1">
        <v>4.375</v>
      </c>
      <c r="E425" s="1">
        <v>0</v>
      </c>
      <c r="F425" s="1">
        <v>4.375</v>
      </c>
    </row>
    <row r="426" spans="1:6">
      <c r="A426" s="1" t="s">
        <v>358</v>
      </c>
      <c r="B426" s="3">
        <v>46643</v>
      </c>
      <c r="C426" s="1">
        <v>100</v>
      </c>
      <c r="D426" s="1">
        <v>4.375</v>
      </c>
      <c r="E426" s="1">
        <v>0</v>
      </c>
      <c r="F426" s="1">
        <v>4.375</v>
      </c>
    </row>
    <row r="427" spans="1:6">
      <c r="A427" s="1" t="s">
        <v>358</v>
      </c>
      <c r="B427" s="3">
        <v>46825</v>
      </c>
      <c r="C427" s="1">
        <v>100</v>
      </c>
      <c r="D427" s="1">
        <v>4.375</v>
      </c>
      <c r="E427" s="1">
        <v>0</v>
      </c>
      <c r="F427" s="1">
        <v>4.375</v>
      </c>
    </row>
    <row r="428" spans="1:6">
      <c r="A428" s="1" t="s">
        <v>358</v>
      </c>
      <c r="B428" s="3">
        <v>47007</v>
      </c>
      <c r="C428" s="1">
        <v>100</v>
      </c>
      <c r="D428" s="1">
        <v>4.375</v>
      </c>
      <c r="E428" s="1">
        <v>0</v>
      </c>
      <c r="F428" s="1">
        <v>4.375</v>
      </c>
    </row>
    <row r="429" spans="1:6">
      <c r="A429" s="1" t="s">
        <v>358</v>
      </c>
      <c r="B429" s="3">
        <v>47189</v>
      </c>
      <c r="C429" s="1">
        <v>100</v>
      </c>
      <c r="D429" s="1">
        <v>4.375</v>
      </c>
      <c r="E429" s="1">
        <v>0</v>
      </c>
      <c r="F429" s="1">
        <v>4.375</v>
      </c>
    </row>
    <row r="430" spans="1:6">
      <c r="A430" s="1" t="s">
        <v>358</v>
      </c>
      <c r="B430" s="3">
        <v>47372</v>
      </c>
      <c r="C430" s="1">
        <v>80</v>
      </c>
      <c r="D430" s="1">
        <v>4.375</v>
      </c>
      <c r="E430" s="1">
        <v>20</v>
      </c>
      <c r="F430" s="1">
        <v>24.375</v>
      </c>
    </row>
    <row r="431" spans="1:6">
      <c r="A431" s="1" t="s">
        <v>358</v>
      </c>
      <c r="B431" s="3">
        <v>47553</v>
      </c>
      <c r="C431" s="1">
        <v>80</v>
      </c>
      <c r="D431" s="1">
        <v>3.5</v>
      </c>
      <c r="E431" s="1">
        <v>0</v>
      </c>
      <c r="F431" s="1">
        <v>3.5</v>
      </c>
    </row>
    <row r="432" spans="1:6">
      <c r="A432" s="1" t="s">
        <v>358</v>
      </c>
      <c r="B432" s="3">
        <v>47737</v>
      </c>
      <c r="C432" s="1">
        <v>60</v>
      </c>
      <c r="D432" s="1">
        <v>3.5</v>
      </c>
      <c r="E432" s="1">
        <v>20</v>
      </c>
      <c r="F432" s="1">
        <v>23.5</v>
      </c>
    </row>
    <row r="433" spans="1:6">
      <c r="A433" s="1" t="s">
        <v>358</v>
      </c>
      <c r="B433" s="3">
        <v>47918</v>
      </c>
      <c r="C433" s="1">
        <v>60</v>
      </c>
      <c r="D433" s="1">
        <v>2.625</v>
      </c>
      <c r="E433" s="1">
        <v>0</v>
      </c>
      <c r="F433" s="1">
        <v>2.625</v>
      </c>
    </row>
    <row r="434" spans="1:6">
      <c r="A434" s="1" t="s">
        <v>358</v>
      </c>
      <c r="B434" s="3">
        <v>48102</v>
      </c>
      <c r="C434" s="1">
        <v>0</v>
      </c>
      <c r="D434" s="1">
        <v>2.625</v>
      </c>
      <c r="E434" s="1">
        <v>60</v>
      </c>
      <c r="F434" s="1">
        <v>62.625</v>
      </c>
    </row>
    <row r="435" spans="1:6">
      <c r="A435" s="1" t="s">
        <v>359</v>
      </c>
      <c r="B435" s="3">
        <v>44285</v>
      </c>
      <c r="C435" s="1">
        <v>100</v>
      </c>
      <c r="D435" s="1">
        <v>0.2</v>
      </c>
      <c r="E435" s="1">
        <v>0</v>
      </c>
      <c r="F435" s="1">
        <v>0.2</v>
      </c>
    </row>
    <row r="436" spans="1:6">
      <c r="A436" s="1" t="s">
        <v>359</v>
      </c>
      <c r="B436" s="3">
        <v>44469</v>
      </c>
      <c r="C436" s="1">
        <v>100</v>
      </c>
      <c r="D436" s="1">
        <v>0.75</v>
      </c>
      <c r="E436" s="1">
        <v>0</v>
      </c>
      <c r="F436" s="1">
        <v>0.75</v>
      </c>
    </row>
    <row r="437" spans="1:6">
      <c r="A437" s="1" t="s">
        <v>359</v>
      </c>
      <c r="B437" s="3">
        <v>44650</v>
      </c>
      <c r="C437" s="1">
        <v>100</v>
      </c>
      <c r="D437" s="1">
        <v>0.75</v>
      </c>
      <c r="E437" s="1">
        <v>0</v>
      </c>
      <c r="F437" s="1">
        <v>0.75</v>
      </c>
    </row>
    <row r="438" spans="1:6">
      <c r="A438" s="1" t="s">
        <v>359</v>
      </c>
      <c r="B438" s="3">
        <v>44834</v>
      </c>
      <c r="C438" s="1">
        <v>100</v>
      </c>
      <c r="D438" s="1">
        <v>0.75</v>
      </c>
      <c r="E438" s="1">
        <v>0</v>
      </c>
      <c r="F438" s="1">
        <v>0.75</v>
      </c>
    </row>
    <row r="439" spans="1:6">
      <c r="A439" s="1" t="s">
        <v>359</v>
      </c>
      <c r="B439" s="3">
        <v>45015</v>
      </c>
      <c r="C439" s="1">
        <v>100</v>
      </c>
      <c r="D439" s="1">
        <v>2.109722</v>
      </c>
      <c r="E439" s="1">
        <v>0</v>
      </c>
      <c r="F439" s="1">
        <v>2.109722</v>
      </c>
    </row>
    <row r="440" spans="1:6">
      <c r="A440" s="1" t="s">
        <v>359</v>
      </c>
      <c r="B440" s="3">
        <v>45201</v>
      </c>
      <c r="C440" s="1">
        <v>100</v>
      </c>
      <c r="D440" s="1">
        <v>3.5</v>
      </c>
      <c r="E440" s="1">
        <v>0</v>
      </c>
      <c r="F440" s="1">
        <v>3.5</v>
      </c>
    </row>
    <row r="441" spans="1:6">
      <c r="A441" s="1" t="s">
        <v>359</v>
      </c>
      <c r="B441" s="3">
        <v>45385</v>
      </c>
      <c r="C441" s="1">
        <v>100</v>
      </c>
      <c r="D441" s="1">
        <v>3.5</v>
      </c>
      <c r="E441" s="1">
        <v>0</v>
      </c>
      <c r="F441" s="1">
        <v>3.5</v>
      </c>
    </row>
    <row r="442" spans="1:6">
      <c r="A442" s="1" t="s">
        <v>359</v>
      </c>
      <c r="B442" s="3">
        <v>45565</v>
      </c>
      <c r="C442" s="1">
        <v>100</v>
      </c>
      <c r="D442" s="1">
        <v>3.5</v>
      </c>
      <c r="E442" s="1">
        <v>0</v>
      </c>
      <c r="F442" s="1">
        <v>3.5</v>
      </c>
    </row>
    <row r="443" spans="1:6">
      <c r="A443" s="1" t="s">
        <v>359</v>
      </c>
      <c r="B443" s="3">
        <v>45747</v>
      </c>
      <c r="C443" s="1">
        <v>100</v>
      </c>
      <c r="D443" s="1">
        <v>3.5</v>
      </c>
      <c r="E443" s="1">
        <v>0</v>
      </c>
      <c r="F443" s="1">
        <v>3.5</v>
      </c>
    </row>
    <row r="444" spans="1:6">
      <c r="A444" s="1" t="s">
        <v>359</v>
      </c>
      <c r="B444" s="3">
        <v>45930</v>
      </c>
      <c r="C444" s="1">
        <v>100</v>
      </c>
      <c r="D444" s="1">
        <v>3.5</v>
      </c>
      <c r="E444" s="1">
        <v>0</v>
      </c>
      <c r="F444" s="1">
        <v>3.5</v>
      </c>
    </row>
    <row r="445" spans="1:6">
      <c r="A445" s="1" t="s">
        <v>359</v>
      </c>
      <c r="B445" s="3">
        <v>46111</v>
      </c>
      <c r="C445" s="1">
        <v>100</v>
      </c>
      <c r="D445" s="1">
        <v>3.5</v>
      </c>
      <c r="E445" s="1">
        <v>0</v>
      </c>
      <c r="F445" s="1">
        <v>3.5</v>
      </c>
    </row>
    <row r="446" spans="1:6">
      <c r="A446" s="1" t="s">
        <v>359</v>
      </c>
      <c r="B446" s="3">
        <v>46295</v>
      </c>
      <c r="C446" s="1">
        <v>100</v>
      </c>
      <c r="D446" s="1">
        <v>3.5</v>
      </c>
      <c r="E446" s="1">
        <v>0</v>
      </c>
      <c r="F446" s="1">
        <v>3.5</v>
      </c>
    </row>
    <row r="447" spans="1:6">
      <c r="A447" s="1" t="s">
        <v>359</v>
      </c>
      <c r="B447" s="3">
        <v>46476</v>
      </c>
      <c r="C447" s="1">
        <v>100</v>
      </c>
      <c r="D447" s="1">
        <v>3.5</v>
      </c>
      <c r="E447" s="1">
        <v>0</v>
      </c>
      <c r="F447" s="1">
        <v>3.5</v>
      </c>
    </row>
    <row r="448" spans="1:6">
      <c r="A448" s="1" t="s">
        <v>359</v>
      </c>
      <c r="B448" s="3">
        <v>46660</v>
      </c>
      <c r="C448" s="1">
        <v>100</v>
      </c>
      <c r="D448" s="1">
        <v>3.5</v>
      </c>
      <c r="E448" s="1">
        <v>0</v>
      </c>
      <c r="F448" s="1">
        <v>3.5</v>
      </c>
    </row>
    <row r="449" spans="1:6">
      <c r="A449" s="1" t="s">
        <v>359</v>
      </c>
      <c r="B449" s="3">
        <v>46842</v>
      </c>
      <c r="C449" s="1">
        <v>100</v>
      </c>
      <c r="D449" s="1">
        <v>3.5</v>
      </c>
      <c r="E449" s="1">
        <v>0</v>
      </c>
      <c r="F449" s="1">
        <v>3.5</v>
      </c>
    </row>
    <row r="450" spans="1:6">
      <c r="A450" s="1" t="s">
        <v>359</v>
      </c>
      <c r="B450" s="3">
        <v>47028</v>
      </c>
      <c r="C450" s="1">
        <v>100</v>
      </c>
      <c r="D450" s="1">
        <v>3.5</v>
      </c>
      <c r="E450" s="1">
        <v>0</v>
      </c>
      <c r="F450" s="1">
        <v>3.5</v>
      </c>
    </row>
    <row r="451" spans="1:6">
      <c r="A451" s="1" t="s">
        <v>359</v>
      </c>
      <c r="B451" s="3">
        <v>47207</v>
      </c>
      <c r="C451" s="1">
        <v>100</v>
      </c>
      <c r="D451" s="1">
        <v>3.5</v>
      </c>
      <c r="E451" s="1">
        <v>0</v>
      </c>
      <c r="F451" s="1">
        <v>3.5</v>
      </c>
    </row>
    <row r="452" spans="1:6">
      <c r="A452" s="1" t="s">
        <v>359</v>
      </c>
      <c r="B452" s="3">
        <v>47392</v>
      </c>
      <c r="C452" s="1">
        <v>100</v>
      </c>
      <c r="D452" s="1">
        <v>3.5</v>
      </c>
      <c r="E452" s="1">
        <v>0</v>
      </c>
      <c r="F452" s="1">
        <v>3.5</v>
      </c>
    </row>
    <row r="453" spans="1:6">
      <c r="A453" s="1" t="s">
        <v>359</v>
      </c>
      <c r="B453" s="3">
        <v>47574</v>
      </c>
      <c r="C453" s="1">
        <v>100</v>
      </c>
      <c r="D453" s="1">
        <v>3.5</v>
      </c>
      <c r="E453" s="1">
        <v>0</v>
      </c>
      <c r="F453" s="1">
        <v>3.5</v>
      </c>
    </row>
    <row r="454" spans="1:6">
      <c r="A454" s="1" t="s">
        <v>359</v>
      </c>
      <c r="B454" s="3">
        <v>47756</v>
      </c>
      <c r="C454" s="1">
        <v>75</v>
      </c>
      <c r="D454" s="1">
        <v>3.5</v>
      </c>
      <c r="E454" s="1">
        <v>25</v>
      </c>
      <c r="F454" s="1">
        <v>28.5</v>
      </c>
    </row>
    <row r="455" spans="1:6">
      <c r="A455" s="1" t="s">
        <v>359</v>
      </c>
      <c r="B455" s="3">
        <v>47938</v>
      </c>
      <c r="C455" s="1">
        <v>75</v>
      </c>
      <c r="D455" s="1">
        <v>2.625</v>
      </c>
      <c r="E455" s="1">
        <v>0</v>
      </c>
      <c r="F455" s="1">
        <v>2.625</v>
      </c>
    </row>
    <row r="456" spans="1:6">
      <c r="A456" s="1" t="s">
        <v>359</v>
      </c>
      <c r="B456" s="3">
        <v>48121</v>
      </c>
      <c r="C456" s="1">
        <v>50</v>
      </c>
      <c r="D456" s="1">
        <v>2.625</v>
      </c>
      <c r="E456" s="1">
        <v>25</v>
      </c>
      <c r="F456" s="1">
        <v>27.625</v>
      </c>
    </row>
    <row r="457" spans="1:6">
      <c r="A457" s="1" t="s">
        <v>359</v>
      </c>
      <c r="B457" s="3">
        <v>48303</v>
      </c>
      <c r="C457" s="1">
        <v>50</v>
      </c>
      <c r="D457" s="1">
        <v>1.75</v>
      </c>
      <c r="E457" s="1">
        <v>0</v>
      </c>
      <c r="F457" s="1">
        <v>1.75</v>
      </c>
    </row>
    <row r="458" spans="1:6">
      <c r="A458" s="1" t="s">
        <v>359</v>
      </c>
      <c r="B458" s="3">
        <v>48487</v>
      </c>
      <c r="C458" s="1">
        <v>25</v>
      </c>
      <c r="D458" s="1">
        <v>1.75</v>
      </c>
      <c r="E458" s="1">
        <v>25</v>
      </c>
      <c r="F458" s="1">
        <v>26.75</v>
      </c>
    </row>
    <row r="459" spans="1:6">
      <c r="A459" s="1" t="s">
        <v>359</v>
      </c>
      <c r="B459" s="3">
        <v>48668</v>
      </c>
      <c r="C459" s="1">
        <v>25</v>
      </c>
      <c r="D459" s="1">
        <v>0.875</v>
      </c>
      <c r="E459" s="1">
        <v>0</v>
      </c>
      <c r="F459" s="1">
        <v>0.875</v>
      </c>
    </row>
    <row r="460" spans="1:6">
      <c r="A460" s="1" t="s">
        <v>359</v>
      </c>
      <c r="B460" s="3">
        <v>48852</v>
      </c>
      <c r="C460" s="1">
        <v>0</v>
      </c>
      <c r="D460" s="1">
        <v>0.875</v>
      </c>
      <c r="E460" s="1">
        <v>25</v>
      </c>
      <c r="F460" s="1">
        <v>25.875</v>
      </c>
    </row>
    <row r="461" spans="1:6">
      <c r="A461" s="1" t="s">
        <v>360</v>
      </c>
      <c r="B461" s="3">
        <v>45855</v>
      </c>
      <c r="C461" s="1">
        <v>100</v>
      </c>
      <c r="D461" s="1">
        <v>4.125</v>
      </c>
      <c r="E461" s="1">
        <v>0</v>
      </c>
      <c r="F461" s="1">
        <v>4.125</v>
      </c>
    </row>
    <row r="462" spans="1:6">
      <c r="A462" s="1" t="s">
        <v>360</v>
      </c>
      <c r="B462" s="3">
        <v>46041</v>
      </c>
      <c r="C462" s="1">
        <v>100</v>
      </c>
      <c r="D462" s="1">
        <v>4.125</v>
      </c>
      <c r="E462" s="1">
        <v>0</v>
      </c>
      <c r="F462" s="1">
        <v>4.125</v>
      </c>
    </row>
    <row r="463" spans="1:6">
      <c r="A463" s="1" t="s">
        <v>360</v>
      </c>
      <c r="B463" s="3">
        <v>46220</v>
      </c>
      <c r="C463" s="1">
        <v>100</v>
      </c>
      <c r="D463" s="1">
        <v>4.125</v>
      </c>
      <c r="E463" s="1">
        <v>0</v>
      </c>
      <c r="F463" s="1">
        <v>4.125</v>
      </c>
    </row>
    <row r="464" spans="1:6">
      <c r="A464" s="1" t="s">
        <v>360</v>
      </c>
      <c r="B464" s="3">
        <v>46405</v>
      </c>
      <c r="C464" s="1">
        <v>100</v>
      </c>
      <c r="D464" s="1">
        <v>4.125</v>
      </c>
      <c r="E464" s="1">
        <v>0</v>
      </c>
      <c r="F464" s="1">
        <v>4.125</v>
      </c>
    </row>
    <row r="465" spans="1:6">
      <c r="A465" s="1" t="s">
        <v>360</v>
      </c>
      <c r="B465" s="3">
        <v>46587</v>
      </c>
      <c r="C465" s="1">
        <v>100</v>
      </c>
      <c r="D465" s="1">
        <v>4.125</v>
      </c>
      <c r="E465" s="1">
        <v>0</v>
      </c>
      <c r="F465" s="1">
        <v>4.125</v>
      </c>
    </row>
    <row r="466" spans="1:6">
      <c r="A466" s="1" t="s">
        <v>360</v>
      </c>
      <c r="B466" s="3">
        <v>46769</v>
      </c>
      <c r="C466" s="1">
        <v>100</v>
      </c>
      <c r="D466" s="1">
        <v>4.125</v>
      </c>
      <c r="E466" s="1">
        <v>0</v>
      </c>
      <c r="F466" s="1">
        <v>4.125</v>
      </c>
    </row>
    <row r="467" spans="1:6">
      <c r="A467" s="1" t="s">
        <v>360</v>
      </c>
      <c r="B467" s="3">
        <v>46951</v>
      </c>
      <c r="C467" s="1">
        <v>100</v>
      </c>
      <c r="D467" s="1">
        <v>4.125</v>
      </c>
      <c r="E467" s="1">
        <v>0</v>
      </c>
      <c r="F467" s="1">
        <v>4.125</v>
      </c>
    </row>
    <row r="468" spans="1:6">
      <c r="A468" s="1" t="s">
        <v>360</v>
      </c>
      <c r="B468" s="3">
        <v>47135</v>
      </c>
      <c r="C468" s="1">
        <v>100</v>
      </c>
      <c r="D468" s="1">
        <v>4.125</v>
      </c>
      <c r="E468" s="1">
        <v>0</v>
      </c>
      <c r="F468" s="1">
        <v>4.125</v>
      </c>
    </row>
    <row r="469" spans="1:6">
      <c r="A469" s="1" t="s">
        <v>360</v>
      </c>
      <c r="B469" s="3">
        <v>47316</v>
      </c>
      <c r="C469" s="1">
        <v>100</v>
      </c>
      <c r="D469" s="1">
        <v>4.125</v>
      </c>
      <c r="E469" s="1">
        <v>0</v>
      </c>
      <c r="F469" s="1">
        <v>4.125</v>
      </c>
    </row>
    <row r="470" spans="1:6">
      <c r="A470" s="1" t="s">
        <v>360</v>
      </c>
      <c r="B470" s="3">
        <v>47500</v>
      </c>
      <c r="C470" s="1">
        <v>100</v>
      </c>
      <c r="D470" s="1">
        <v>4.125</v>
      </c>
      <c r="E470" s="1">
        <v>0</v>
      </c>
      <c r="F470" s="1">
        <v>4.125</v>
      </c>
    </row>
    <row r="471" spans="1:6">
      <c r="A471" s="1" t="s">
        <v>360</v>
      </c>
      <c r="B471" s="3">
        <v>47681</v>
      </c>
      <c r="C471" s="1">
        <v>100</v>
      </c>
      <c r="D471" s="1">
        <v>4.125</v>
      </c>
      <c r="E471" s="1">
        <v>0</v>
      </c>
      <c r="F471" s="1">
        <v>4.125</v>
      </c>
    </row>
    <row r="472" spans="1:6">
      <c r="A472" s="1" t="s">
        <v>360</v>
      </c>
      <c r="B472" s="3">
        <v>47865</v>
      </c>
      <c r="C472" s="1">
        <v>100</v>
      </c>
      <c r="D472" s="1">
        <v>4.125</v>
      </c>
      <c r="E472" s="1">
        <v>0</v>
      </c>
      <c r="F472" s="1">
        <v>4.125</v>
      </c>
    </row>
    <row r="473" spans="1:6">
      <c r="A473" s="1" t="s">
        <v>360</v>
      </c>
      <c r="B473" s="3">
        <v>48046</v>
      </c>
      <c r="C473" s="1">
        <v>100</v>
      </c>
      <c r="D473" s="1">
        <v>4.125</v>
      </c>
      <c r="E473" s="1">
        <v>0</v>
      </c>
      <c r="F473" s="1">
        <v>4.125</v>
      </c>
    </row>
    <row r="474" spans="1:6">
      <c r="A474" s="1" t="s">
        <v>360</v>
      </c>
      <c r="B474" s="3">
        <v>48232</v>
      </c>
      <c r="C474" s="1">
        <v>70</v>
      </c>
      <c r="D474" s="1">
        <v>4.125</v>
      </c>
      <c r="E474" s="1">
        <v>30</v>
      </c>
      <c r="F474" s="1">
        <v>34.125</v>
      </c>
    </row>
    <row r="475" spans="1:6">
      <c r="A475" s="1" t="s">
        <v>360</v>
      </c>
      <c r="B475" s="3">
        <v>48414</v>
      </c>
      <c r="C475" s="1">
        <v>70</v>
      </c>
      <c r="D475" s="1">
        <v>2.8875</v>
      </c>
      <c r="E475" s="1">
        <v>0</v>
      </c>
      <c r="F475" s="1">
        <v>2.8875</v>
      </c>
    </row>
    <row r="476" spans="1:6">
      <c r="A476" s="1" t="s">
        <v>360</v>
      </c>
      <c r="B476" s="3">
        <v>48596</v>
      </c>
      <c r="C476" s="1">
        <v>40</v>
      </c>
      <c r="D476" s="1">
        <v>2.8875</v>
      </c>
      <c r="E476" s="1">
        <v>30</v>
      </c>
      <c r="F476" s="1">
        <v>32.8875</v>
      </c>
    </row>
    <row r="477" spans="1:6">
      <c r="A477" s="1" t="s">
        <v>360</v>
      </c>
      <c r="B477" s="3">
        <v>48778</v>
      </c>
      <c r="C477" s="1">
        <v>40</v>
      </c>
      <c r="D477" s="1">
        <v>1.65</v>
      </c>
      <c r="E477" s="1">
        <v>0</v>
      </c>
      <c r="F477" s="1">
        <v>1.65</v>
      </c>
    </row>
    <row r="478" spans="1:6">
      <c r="A478" s="1" t="s">
        <v>360</v>
      </c>
      <c r="B478" s="3">
        <v>48961</v>
      </c>
      <c r="C478" s="1">
        <v>0</v>
      </c>
      <c r="D478" s="1">
        <v>1.65</v>
      </c>
      <c r="E478" s="1">
        <v>40</v>
      </c>
      <c r="F478" s="1">
        <v>41.65</v>
      </c>
    </row>
    <row r="479" spans="1:6">
      <c r="A479" s="1" t="s">
        <v>361</v>
      </c>
      <c r="B479" s="3">
        <v>45763</v>
      </c>
      <c r="C479" s="1">
        <v>100</v>
      </c>
      <c r="D479" s="1">
        <v>3.9375</v>
      </c>
      <c r="E479" s="1">
        <v>0</v>
      </c>
      <c r="F479" s="1">
        <v>3.9375</v>
      </c>
    </row>
    <row r="480" spans="1:6">
      <c r="A480" s="1" t="s">
        <v>361</v>
      </c>
      <c r="B480" s="3">
        <v>45946</v>
      </c>
      <c r="C480" s="1">
        <v>100</v>
      </c>
      <c r="D480" s="1">
        <v>3.9375</v>
      </c>
      <c r="E480" s="1">
        <v>0</v>
      </c>
      <c r="F480" s="1">
        <v>3.9375</v>
      </c>
    </row>
    <row r="481" spans="1:6">
      <c r="A481" s="1" t="s">
        <v>361</v>
      </c>
      <c r="B481" s="3">
        <v>46128</v>
      </c>
      <c r="C481" s="1">
        <v>100</v>
      </c>
      <c r="D481" s="1">
        <v>3.9375</v>
      </c>
      <c r="E481" s="1">
        <v>0</v>
      </c>
      <c r="F481" s="1">
        <v>3.9375</v>
      </c>
    </row>
    <row r="482" spans="1:6">
      <c r="A482" s="1" t="s">
        <v>361</v>
      </c>
      <c r="B482" s="3">
        <v>46311</v>
      </c>
      <c r="C482" s="1">
        <v>100</v>
      </c>
      <c r="D482" s="1">
        <v>3.9375</v>
      </c>
      <c r="E482" s="1">
        <v>0</v>
      </c>
      <c r="F482" s="1">
        <v>3.9375</v>
      </c>
    </row>
    <row r="483" spans="1:6">
      <c r="A483" s="1" t="s">
        <v>361</v>
      </c>
      <c r="B483" s="3">
        <v>46493</v>
      </c>
      <c r="C483" s="1">
        <v>100</v>
      </c>
      <c r="D483" s="1">
        <v>3.9375</v>
      </c>
      <c r="E483" s="1">
        <v>0</v>
      </c>
      <c r="F483" s="1">
        <v>3.9375</v>
      </c>
    </row>
    <row r="484" spans="1:6">
      <c r="A484" s="1" t="s">
        <v>361</v>
      </c>
      <c r="B484" s="3">
        <v>46678</v>
      </c>
      <c r="C484" s="1">
        <v>100</v>
      </c>
      <c r="D484" s="1">
        <v>3.9375</v>
      </c>
      <c r="E484" s="1">
        <v>0</v>
      </c>
      <c r="F484" s="1">
        <v>3.9375</v>
      </c>
    </row>
    <row r="485" spans="1:6">
      <c r="A485" s="1" t="s">
        <v>361</v>
      </c>
      <c r="B485" s="3">
        <v>46860</v>
      </c>
      <c r="C485" s="1">
        <v>100</v>
      </c>
      <c r="D485" s="1">
        <v>3.9375</v>
      </c>
      <c r="E485" s="1">
        <v>0</v>
      </c>
      <c r="F485" s="1">
        <v>3.9375</v>
      </c>
    </row>
    <row r="486" spans="1:6">
      <c r="A486" s="1" t="s">
        <v>361</v>
      </c>
      <c r="B486" s="3">
        <v>47042</v>
      </c>
      <c r="C486" s="1">
        <v>100</v>
      </c>
      <c r="D486" s="1">
        <v>3.9375</v>
      </c>
      <c r="E486" s="1">
        <v>0</v>
      </c>
      <c r="F486" s="1">
        <v>3.9375</v>
      </c>
    </row>
    <row r="487" spans="1:6">
      <c r="A487" s="1" t="s">
        <v>361</v>
      </c>
      <c r="B487" s="3">
        <v>47224</v>
      </c>
      <c r="C487" s="1">
        <v>100</v>
      </c>
      <c r="D487" s="1">
        <v>3.9375</v>
      </c>
      <c r="E487" s="1">
        <v>0</v>
      </c>
      <c r="F487" s="1">
        <v>3.9375</v>
      </c>
    </row>
    <row r="488" spans="1:6">
      <c r="A488" s="1" t="s">
        <v>361</v>
      </c>
      <c r="B488" s="3">
        <v>47407</v>
      </c>
      <c r="C488" s="1">
        <v>100</v>
      </c>
      <c r="D488" s="1">
        <v>3.9375</v>
      </c>
      <c r="E488" s="1">
        <v>0</v>
      </c>
      <c r="F488" s="1">
        <v>3.9375</v>
      </c>
    </row>
    <row r="489" spans="1:6">
      <c r="A489" s="1" t="s">
        <v>361</v>
      </c>
      <c r="B489" s="3">
        <v>47589</v>
      </c>
      <c r="C489" s="1">
        <v>100</v>
      </c>
      <c r="D489" s="1">
        <v>3.9375</v>
      </c>
      <c r="E489" s="1">
        <v>0</v>
      </c>
      <c r="F489" s="1">
        <v>3.9375</v>
      </c>
    </row>
    <row r="490" spans="1:6">
      <c r="A490" s="1" t="s">
        <v>361</v>
      </c>
      <c r="B490" s="3">
        <v>47772</v>
      </c>
      <c r="C490" s="1">
        <v>67</v>
      </c>
      <c r="D490" s="1">
        <v>3.9375</v>
      </c>
      <c r="E490" s="1">
        <v>33</v>
      </c>
      <c r="F490" s="1">
        <v>36.9375</v>
      </c>
    </row>
    <row r="491" spans="1:6">
      <c r="A491" s="1" t="s">
        <v>361</v>
      </c>
      <c r="B491" s="3">
        <v>47954</v>
      </c>
      <c r="C491" s="1">
        <v>67</v>
      </c>
      <c r="D491" s="1">
        <v>2.638125</v>
      </c>
      <c r="E491" s="1">
        <v>0</v>
      </c>
      <c r="F491" s="1">
        <v>2.638125</v>
      </c>
    </row>
    <row r="492" spans="1:6">
      <c r="A492" s="1" t="s">
        <v>361</v>
      </c>
      <c r="B492" s="3">
        <v>48137</v>
      </c>
      <c r="C492" s="1">
        <v>34</v>
      </c>
      <c r="D492" s="1">
        <v>2.638125</v>
      </c>
      <c r="E492" s="1">
        <v>33</v>
      </c>
      <c r="F492" s="1">
        <v>35.638125</v>
      </c>
    </row>
    <row r="493" spans="1:6">
      <c r="A493" s="1" t="s">
        <v>361</v>
      </c>
      <c r="B493" s="3">
        <v>48320</v>
      </c>
      <c r="C493" s="1">
        <v>34</v>
      </c>
      <c r="D493" s="1">
        <v>1.33875</v>
      </c>
      <c r="E493" s="1">
        <v>0</v>
      </c>
      <c r="F493" s="1">
        <v>1.33875</v>
      </c>
    </row>
    <row r="494" spans="1:6">
      <c r="A494" s="1" t="s">
        <v>361</v>
      </c>
      <c r="B494" s="3">
        <v>48505</v>
      </c>
      <c r="C494" s="1">
        <v>0</v>
      </c>
      <c r="D494" s="1">
        <v>1.33875</v>
      </c>
      <c r="E494" s="1">
        <v>34</v>
      </c>
      <c r="F494" s="1">
        <v>35.33875</v>
      </c>
    </row>
    <row r="495" spans="1:6">
      <c r="A495" s="1" t="s">
        <v>362</v>
      </c>
      <c r="B495" s="3">
        <v>46003</v>
      </c>
      <c r="C495" s="1">
        <v>100</v>
      </c>
      <c r="D495" s="1">
        <v>3.955808</v>
      </c>
      <c r="E495" s="1">
        <v>0</v>
      </c>
      <c r="F495" s="1">
        <v>3.955808</v>
      </c>
    </row>
    <row r="496" spans="1:6">
      <c r="A496" s="1" t="s">
        <v>362</v>
      </c>
      <c r="B496" s="3">
        <v>46185</v>
      </c>
      <c r="C496" s="1">
        <v>100</v>
      </c>
      <c r="D496" s="1">
        <v>3.934192</v>
      </c>
      <c r="E496" s="1">
        <v>0</v>
      </c>
      <c r="F496" s="1">
        <v>3.934192</v>
      </c>
    </row>
    <row r="497" spans="1:6">
      <c r="A497" s="1" t="s">
        <v>362</v>
      </c>
      <c r="B497" s="3">
        <v>46370</v>
      </c>
      <c r="C497" s="1">
        <v>100</v>
      </c>
      <c r="D497" s="1">
        <v>3.955808</v>
      </c>
      <c r="E497" s="1">
        <v>0</v>
      </c>
      <c r="F497" s="1">
        <v>3.955808</v>
      </c>
    </row>
    <row r="498" spans="1:6">
      <c r="A498" s="1" t="s">
        <v>362</v>
      </c>
      <c r="B498" s="3">
        <v>46552</v>
      </c>
      <c r="C498" s="1">
        <v>100</v>
      </c>
      <c r="D498" s="1">
        <v>3.934192</v>
      </c>
      <c r="E498" s="1">
        <v>0</v>
      </c>
      <c r="F498" s="1">
        <v>3.934192</v>
      </c>
    </row>
    <row r="499" spans="1:6">
      <c r="A499" s="1" t="s">
        <v>362</v>
      </c>
      <c r="B499" s="3">
        <v>46734</v>
      </c>
      <c r="C499" s="1">
        <v>100</v>
      </c>
      <c r="D499" s="1">
        <v>3.955808</v>
      </c>
      <c r="E499" s="1">
        <v>0</v>
      </c>
      <c r="F499" s="1">
        <v>3.955808</v>
      </c>
    </row>
    <row r="500" spans="1:6">
      <c r="A500" s="1" t="s">
        <v>362</v>
      </c>
      <c r="B500" s="3">
        <v>46916</v>
      </c>
      <c r="C500" s="1">
        <v>0</v>
      </c>
      <c r="D500" s="1">
        <v>3.955808</v>
      </c>
      <c r="E500" s="1">
        <v>100</v>
      </c>
      <c r="F500" s="1">
        <v>103.955808</v>
      </c>
    </row>
    <row r="501" spans="1:6">
      <c r="A501" s="1" t="s">
        <v>363</v>
      </c>
      <c r="B501" s="3">
        <v>46178</v>
      </c>
      <c r="C501" s="1">
        <v>100</v>
      </c>
      <c r="D501" s="1">
        <v>3.739726</v>
      </c>
      <c r="E501" s="1">
        <v>0</v>
      </c>
      <c r="F501" s="1">
        <v>3.739726</v>
      </c>
    </row>
    <row r="502" spans="1:6">
      <c r="A502" s="1" t="s">
        <v>363</v>
      </c>
      <c r="B502" s="3">
        <v>46365</v>
      </c>
      <c r="C502" s="1">
        <v>100</v>
      </c>
      <c r="D502" s="1">
        <v>3.760274</v>
      </c>
      <c r="E502" s="1">
        <v>0</v>
      </c>
      <c r="F502" s="1">
        <v>3.760274</v>
      </c>
    </row>
    <row r="503" spans="1:6">
      <c r="A503" s="1" t="s">
        <v>363</v>
      </c>
      <c r="B503" s="3">
        <v>46545</v>
      </c>
      <c r="C503" s="1">
        <v>100</v>
      </c>
      <c r="D503" s="1">
        <v>3.739726</v>
      </c>
      <c r="E503" s="1">
        <v>0</v>
      </c>
      <c r="F503" s="1">
        <v>3.739726</v>
      </c>
    </row>
    <row r="504" spans="1:6">
      <c r="A504" s="1" t="s">
        <v>363</v>
      </c>
      <c r="B504" s="3">
        <v>46727</v>
      </c>
      <c r="C504" s="1">
        <v>100</v>
      </c>
      <c r="D504" s="1">
        <v>3.760274</v>
      </c>
      <c r="E504" s="1">
        <v>0</v>
      </c>
      <c r="F504" s="1">
        <v>3.760274</v>
      </c>
    </row>
    <row r="505" spans="1:6">
      <c r="A505" s="1" t="s">
        <v>363</v>
      </c>
      <c r="B505" s="3">
        <v>46909</v>
      </c>
      <c r="C505" s="1">
        <v>100</v>
      </c>
      <c r="D505" s="1">
        <v>3.760274</v>
      </c>
      <c r="E505" s="1">
        <v>0</v>
      </c>
      <c r="F505" s="1">
        <v>3.760274</v>
      </c>
    </row>
    <row r="506" spans="1:6">
      <c r="A506" s="1" t="s">
        <v>363</v>
      </c>
      <c r="B506" s="3">
        <v>47092</v>
      </c>
      <c r="C506" s="1">
        <v>100</v>
      </c>
      <c r="D506" s="1">
        <v>3.760274</v>
      </c>
      <c r="E506" s="1">
        <v>0</v>
      </c>
      <c r="F506" s="1">
        <v>3.760274</v>
      </c>
    </row>
    <row r="507" spans="1:6">
      <c r="A507" s="1" t="s">
        <v>363</v>
      </c>
      <c r="B507" s="3">
        <v>47274</v>
      </c>
      <c r="C507" s="1">
        <v>0</v>
      </c>
      <c r="D507" s="1">
        <v>3.739726</v>
      </c>
      <c r="E507" s="1">
        <v>100</v>
      </c>
      <c r="F507" s="1">
        <v>103.739726</v>
      </c>
    </row>
    <row r="508" spans="1:6">
      <c r="A508" s="1" t="s">
        <v>364</v>
      </c>
      <c r="B508" s="3">
        <v>46258</v>
      </c>
      <c r="C508" s="1">
        <v>100</v>
      </c>
      <c r="D508" s="1">
        <v>3.421644</v>
      </c>
      <c r="E508" s="1">
        <v>0</v>
      </c>
      <c r="F508" s="1">
        <v>3.421644</v>
      </c>
    </row>
    <row r="509" spans="1:6">
      <c r="A509" s="1" t="s">
        <v>364</v>
      </c>
      <c r="B509" s="3">
        <v>46441</v>
      </c>
      <c r="C509" s="1">
        <v>100</v>
      </c>
      <c r="D509" s="1">
        <v>3.478356</v>
      </c>
      <c r="E509" s="1">
        <v>0</v>
      </c>
      <c r="F509" s="1">
        <v>3.478356</v>
      </c>
    </row>
    <row r="510" spans="1:6">
      <c r="A510" s="1" t="s">
        <v>364</v>
      </c>
      <c r="B510" s="3">
        <v>46622</v>
      </c>
      <c r="C510" s="1">
        <v>100</v>
      </c>
      <c r="D510" s="1">
        <v>3.421644</v>
      </c>
      <c r="E510" s="1">
        <v>0</v>
      </c>
      <c r="F510" s="1">
        <v>3.421644</v>
      </c>
    </row>
    <row r="511" spans="1:6">
      <c r="A511" s="1" t="s">
        <v>364</v>
      </c>
      <c r="B511" s="3">
        <v>46806</v>
      </c>
      <c r="C511" s="1">
        <v>100</v>
      </c>
      <c r="D511" s="1">
        <v>3.478356</v>
      </c>
      <c r="E511" s="1">
        <v>0</v>
      </c>
      <c r="F511" s="1">
        <v>3.478356</v>
      </c>
    </row>
    <row r="512" spans="1:6">
      <c r="A512" s="1" t="s">
        <v>364</v>
      </c>
      <c r="B512" s="3">
        <v>46988</v>
      </c>
      <c r="C512" s="1">
        <v>100</v>
      </c>
      <c r="D512" s="1">
        <v>3.440548</v>
      </c>
      <c r="E512" s="1">
        <v>0</v>
      </c>
      <c r="F512" s="1">
        <v>3.440548</v>
      </c>
    </row>
    <row r="513" spans="1:6">
      <c r="A513" s="1" t="s">
        <v>364</v>
      </c>
      <c r="B513" s="3">
        <v>47172</v>
      </c>
      <c r="C513" s="1">
        <v>100</v>
      </c>
      <c r="D513" s="1">
        <v>3.478356</v>
      </c>
      <c r="E513" s="1">
        <v>0</v>
      </c>
      <c r="F513" s="1">
        <v>3.478356</v>
      </c>
    </row>
    <row r="514" spans="1:6">
      <c r="A514" s="1" t="s">
        <v>364</v>
      </c>
      <c r="B514" s="3">
        <v>47353</v>
      </c>
      <c r="C514" s="1">
        <v>100</v>
      </c>
      <c r="D514" s="1">
        <v>3.421644</v>
      </c>
      <c r="E514" s="1">
        <v>0</v>
      </c>
      <c r="F514" s="1">
        <v>3.421644</v>
      </c>
    </row>
    <row r="515" spans="1:6">
      <c r="A515" s="1" t="s">
        <v>364</v>
      </c>
      <c r="B515" s="3">
        <v>47539</v>
      </c>
      <c r="C515" s="1">
        <v>0</v>
      </c>
      <c r="D515" s="1">
        <v>3.516164</v>
      </c>
      <c r="E515" s="1">
        <v>100</v>
      </c>
      <c r="F515" s="1">
        <v>103.516164</v>
      </c>
    </row>
    <row r="516" spans="1:6">
      <c r="A516" s="1" t="s">
        <v>365</v>
      </c>
      <c r="B516" s="3">
        <v>45880</v>
      </c>
      <c r="C516" s="1">
        <v>100</v>
      </c>
      <c r="D516" s="1">
        <v>3.223288</v>
      </c>
      <c r="E516" s="1">
        <v>0</v>
      </c>
      <c r="F516" s="1">
        <v>3.223288</v>
      </c>
    </row>
    <row r="517" spans="1:6">
      <c r="A517" s="1" t="s">
        <v>365</v>
      </c>
      <c r="B517" s="3">
        <v>46064</v>
      </c>
      <c r="C517" s="1">
        <v>100</v>
      </c>
      <c r="D517" s="1">
        <v>3.276712</v>
      </c>
      <c r="E517" s="1">
        <v>0</v>
      </c>
      <c r="F517" s="1">
        <v>3.276712</v>
      </c>
    </row>
    <row r="518" spans="1:6">
      <c r="A518" s="1" t="s">
        <v>365</v>
      </c>
      <c r="B518" s="3">
        <v>46245</v>
      </c>
      <c r="C518" s="1">
        <v>100</v>
      </c>
      <c r="D518" s="1">
        <v>3.223288</v>
      </c>
      <c r="E518" s="1">
        <v>0</v>
      </c>
      <c r="F518" s="1">
        <v>3.223288</v>
      </c>
    </row>
    <row r="519" spans="1:6">
      <c r="A519" s="1" t="s">
        <v>365</v>
      </c>
      <c r="B519" s="3">
        <v>46429</v>
      </c>
      <c r="C519" s="1">
        <v>100</v>
      </c>
      <c r="D519" s="1">
        <v>3.276712</v>
      </c>
      <c r="E519" s="1">
        <v>0</v>
      </c>
      <c r="F519" s="1">
        <v>3.276712</v>
      </c>
    </row>
    <row r="520" spans="1:6">
      <c r="A520" s="1" t="s">
        <v>365</v>
      </c>
      <c r="B520" s="3">
        <v>46610</v>
      </c>
      <c r="C520" s="1">
        <v>0</v>
      </c>
      <c r="D520" s="1">
        <v>3.223288</v>
      </c>
      <c r="E520" s="1">
        <v>100</v>
      </c>
      <c r="F520" s="1">
        <v>103.223288</v>
      </c>
    </row>
    <row r="521" spans="1:6">
      <c r="A521" s="1" t="s">
        <v>366</v>
      </c>
      <c r="B521" s="3">
        <v>46080</v>
      </c>
      <c r="C521" s="1">
        <v>100</v>
      </c>
      <c r="D521" s="1">
        <v>3.780822</v>
      </c>
      <c r="E521" s="1">
        <v>0</v>
      </c>
      <c r="F521" s="1">
        <v>3.780822</v>
      </c>
    </row>
    <row r="522" spans="1:6">
      <c r="A522" s="1" t="s">
        <v>366</v>
      </c>
      <c r="B522" s="3">
        <v>46261</v>
      </c>
      <c r="C522" s="1">
        <v>100</v>
      </c>
      <c r="D522" s="1">
        <v>3.719178</v>
      </c>
      <c r="E522" s="1">
        <v>0</v>
      </c>
      <c r="F522" s="1">
        <v>3.719178</v>
      </c>
    </row>
    <row r="523" spans="1:6">
      <c r="A523" s="1" t="s">
        <v>366</v>
      </c>
      <c r="B523" s="3">
        <v>46447</v>
      </c>
      <c r="C523" s="1">
        <v>100</v>
      </c>
      <c r="D523" s="1">
        <v>3.780822</v>
      </c>
      <c r="E523" s="1">
        <v>0</v>
      </c>
      <c r="F523" s="1">
        <v>3.780822</v>
      </c>
    </row>
    <row r="524" spans="1:6">
      <c r="A524" s="1" t="s">
        <v>366</v>
      </c>
      <c r="B524" s="3">
        <v>46626</v>
      </c>
      <c r="C524" s="1">
        <v>100</v>
      </c>
      <c r="D524" s="1">
        <v>3.719178</v>
      </c>
      <c r="E524" s="1">
        <v>0</v>
      </c>
      <c r="F524" s="1">
        <v>3.719178</v>
      </c>
    </row>
    <row r="525" spans="1:6">
      <c r="A525" s="1" t="s">
        <v>366</v>
      </c>
      <c r="B525" s="3">
        <v>46813</v>
      </c>
      <c r="C525" s="1">
        <v>100</v>
      </c>
      <c r="D525" s="1">
        <v>3.780822</v>
      </c>
      <c r="E525" s="1">
        <v>0</v>
      </c>
      <c r="F525" s="1">
        <v>3.780822</v>
      </c>
    </row>
    <row r="526" spans="1:6">
      <c r="A526" s="1" t="s">
        <v>366</v>
      </c>
      <c r="B526" s="3">
        <v>46993</v>
      </c>
      <c r="C526" s="1">
        <v>100</v>
      </c>
      <c r="D526" s="1">
        <v>3.739726</v>
      </c>
      <c r="E526" s="1">
        <v>0</v>
      </c>
      <c r="F526" s="1">
        <v>3.739726</v>
      </c>
    </row>
    <row r="527" spans="1:6">
      <c r="A527" s="1" t="s">
        <v>366</v>
      </c>
      <c r="B527" s="3">
        <v>47176</v>
      </c>
      <c r="C527" s="1">
        <v>100</v>
      </c>
      <c r="D527" s="1">
        <v>3.780822</v>
      </c>
      <c r="E527" s="1">
        <v>0</v>
      </c>
      <c r="F527" s="1">
        <v>3.780822</v>
      </c>
    </row>
    <row r="528" spans="1:6">
      <c r="A528" s="1" t="s">
        <v>366</v>
      </c>
      <c r="B528" s="3">
        <v>47357</v>
      </c>
      <c r="C528" s="1">
        <v>0</v>
      </c>
      <c r="D528" s="1">
        <v>3.719178</v>
      </c>
      <c r="E528" s="1">
        <v>100</v>
      </c>
      <c r="F528" s="1">
        <v>103.719178</v>
      </c>
    </row>
    <row r="529" spans="1:6">
      <c r="A529" s="1" t="s">
        <v>367</v>
      </c>
      <c r="B529" s="3">
        <v>45743</v>
      </c>
      <c r="C529" s="1">
        <v>100</v>
      </c>
      <c r="D529" s="1">
        <v>3.471233</v>
      </c>
      <c r="E529" s="1">
        <v>0</v>
      </c>
      <c r="F529" s="1">
        <v>3.471233</v>
      </c>
    </row>
    <row r="530" spans="1:6">
      <c r="A530" s="1" t="s">
        <v>367</v>
      </c>
      <c r="B530" s="3">
        <v>45929</v>
      </c>
      <c r="C530" s="1">
        <v>100</v>
      </c>
      <c r="D530" s="1">
        <v>3.528767</v>
      </c>
      <c r="E530" s="1">
        <v>0</v>
      </c>
      <c r="F530" s="1">
        <v>3.528767</v>
      </c>
    </row>
    <row r="531" spans="1:6">
      <c r="A531" s="1" t="s">
        <v>367</v>
      </c>
      <c r="B531" s="3">
        <v>46108</v>
      </c>
      <c r="C531" s="1">
        <v>100</v>
      </c>
      <c r="D531" s="1">
        <v>3.471233</v>
      </c>
      <c r="E531" s="1">
        <v>0</v>
      </c>
      <c r="F531" s="1">
        <v>3.471233</v>
      </c>
    </row>
    <row r="532" spans="1:6">
      <c r="A532" s="1" t="s">
        <v>367</v>
      </c>
      <c r="B532" s="3">
        <v>46293</v>
      </c>
      <c r="C532" s="1">
        <v>100</v>
      </c>
      <c r="D532" s="1">
        <v>3.528767</v>
      </c>
      <c r="E532" s="1">
        <v>0</v>
      </c>
      <c r="F532" s="1">
        <v>3.528767</v>
      </c>
    </row>
    <row r="533" spans="1:6">
      <c r="A533" s="1" t="s">
        <v>367</v>
      </c>
      <c r="B533" s="3">
        <v>46475</v>
      </c>
      <c r="C533" s="1">
        <v>100</v>
      </c>
      <c r="D533" s="1">
        <v>3.471233</v>
      </c>
      <c r="E533" s="1">
        <v>0</v>
      </c>
      <c r="F533" s="1">
        <v>3.471233</v>
      </c>
    </row>
    <row r="534" spans="1:6">
      <c r="A534" s="1" t="s">
        <v>367</v>
      </c>
      <c r="B534" s="3">
        <v>46657</v>
      </c>
      <c r="C534" s="1">
        <v>100</v>
      </c>
      <c r="D534" s="1">
        <v>3.528767</v>
      </c>
      <c r="E534" s="1">
        <v>0</v>
      </c>
      <c r="F534" s="1">
        <v>3.528767</v>
      </c>
    </row>
    <row r="535" spans="1:6">
      <c r="A535" s="1" t="s">
        <v>367</v>
      </c>
      <c r="B535" s="3">
        <v>46839</v>
      </c>
      <c r="C535" s="1">
        <v>100</v>
      </c>
      <c r="D535" s="1">
        <v>3.490411</v>
      </c>
      <c r="E535" s="1">
        <v>0</v>
      </c>
      <c r="F535" s="1">
        <v>3.490411</v>
      </c>
    </row>
    <row r="536" spans="1:6">
      <c r="A536" s="1" t="s">
        <v>367</v>
      </c>
      <c r="B536" s="3">
        <v>47023</v>
      </c>
      <c r="C536" s="1">
        <v>100</v>
      </c>
      <c r="D536" s="1">
        <v>3.528767</v>
      </c>
      <c r="E536" s="1">
        <v>0</v>
      </c>
      <c r="F536" s="1">
        <v>3.528767</v>
      </c>
    </row>
    <row r="537" spans="1:6">
      <c r="A537" s="1" t="s">
        <v>367</v>
      </c>
      <c r="B537" s="3">
        <v>47204</v>
      </c>
      <c r="C537" s="1">
        <v>100</v>
      </c>
      <c r="D537" s="1">
        <v>3.471233</v>
      </c>
      <c r="E537" s="1">
        <v>0</v>
      </c>
      <c r="F537" s="1">
        <v>3.471233</v>
      </c>
    </row>
    <row r="538" spans="1:6">
      <c r="A538" s="1" t="s">
        <v>367</v>
      </c>
      <c r="B538" s="3">
        <v>47388</v>
      </c>
      <c r="C538" s="1">
        <v>0</v>
      </c>
      <c r="D538" s="1">
        <v>3.528767</v>
      </c>
      <c r="E538" s="1">
        <v>100</v>
      </c>
      <c r="F538" s="1">
        <v>103.528767</v>
      </c>
    </row>
    <row r="539" spans="1:6">
      <c r="A539" s="1" t="s">
        <v>368</v>
      </c>
      <c r="B539" s="3">
        <v>45790</v>
      </c>
      <c r="C539" s="1">
        <v>100</v>
      </c>
      <c r="D539" s="1">
        <v>3.595205</v>
      </c>
      <c r="E539" s="1">
        <v>0</v>
      </c>
      <c r="F539" s="1">
        <v>3.595205</v>
      </c>
    </row>
    <row r="540" spans="1:6">
      <c r="A540" s="1" t="s">
        <v>368</v>
      </c>
      <c r="B540" s="3">
        <v>45974</v>
      </c>
      <c r="C540" s="1">
        <v>100</v>
      </c>
      <c r="D540" s="1">
        <v>3.654795</v>
      </c>
      <c r="E540" s="1">
        <v>0</v>
      </c>
      <c r="F540" s="1">
        <v>3.654795</v>
      </c>
    </row>
    <row r="541" spans="1:6">
      <c r="A541" s="1" t="s">
        <v>368</v>
      </c>
      <c r="B541" s="3">
        <v>46155</v>
      </c>
      <c r="C541" s="1">
        <v>100</v>
      </c>
      <c r="D541" s="1">
        <v>3.595205</v>
      </c>
      <c r="E541" s="1">
        <v>0</v>
      </c>
      <c r="F541" s="1">
        <v>3.595205</v>
      </c>
    </row>
    <row r="542" spans="1:6">
      <c r="A542" s="1" t="s">
        <v>368</v>
      </c>
      <c r="B542" s="3">
        <v>46339</v>
      </c>
      <c r="C542" s="1">
        <v>100</v>
      </c>
      <c r="D542" s="1">
        <v>3.654795</v>
      </c>
      <c r="E542" s="1">
        <v>0</v>
      </c>
      <c r="F542" s="1">
        <v>3.654795</v>
      </c>
    </row>
    <row r="543" spans="1:6">
      <c r="A543" s="1" t="s">
        <v>368</v>
      </c>
      <c r="B543" s="3">
        <v>46520</v>
      </c>
      <c r="C543" s="1">
        <v>100</v>
      </c>
      <c r="D543" s="1">
        <v>3.595205</v>
      </c>
      <c r="E543" s="1">
        <v>0</v>
      </c>
      <c r="F543" s="1">
        <v>3.595205</v>
      </c>
    </row>
    <row r="544" spans="1:6">
      <c r="A544" s="1" t="s">
        <v>368</v>
      </c>
      <c r="B544" s="3">
        <v>46706</v>
      </c>
      <c r="C544" s="1">
        <v>100</v>
      </c>
      <c r="D544" s="1">
        <v>3.654795</v>
      </c>
      <c r="E544" s="1">
        <v>0</v>
      </c>
      <c r="F544" s="1">
        <v>3.654795</v>
      </c>
    </row>
    <row r="545" spans="1:6">
      <c r="A545" s="1" t="s">
        <v>368</v>
      </c>
      <c r="B545" s="3">
        <v>46888</v>
      </c>
      <c r="C545" s="1">
        <v>100</v>
      </c>
      <c r="D545" s="1">
        <v>3.615068</v>
      </c>
      <c r="E545" s="1">
        <v>0</v>
      </c>
      <c r="F545" s="1">
        <v>3.615068</v>
      </c>
    </row>
    <row r="546" spans="1:6">
      <c r="A546" s="1" t="s">
        <v>368</v>
      </c>
      <c r="B546" s="3">
        <v>47070</v>
      </c>
      <c r="C546" s="1">
        <v>100</v>
      </c>
      <c r="D546" s="1">
        <v>3.654795</v>
      </c>
      <c r="E546" s="1">
        <v>0</v>
      </c>
      <c r="F546" s="1">
        <v>3.654795</v>
      </c>
    </row>
    <row r="547" spans="1:6">
      <c r="A547" s="1" t="s">
        <v>368</v>
      </c>
      <c r="B547" s="3">
        <v>47252</v>
      </c>
      <c r="C547" s="1">
        <v>100</v>
      </c>
      <c r="D547" s="1">
        <v>3.595205</v>
      </c>
      <c r="E547" s="1">
        <v>0</v>
      </c>
      <c r="F547" s="1">
        <v>3.595205</v>
      </c>
    </row>
    <row r="548" spans="1:6">
      <c r="A548" s="1" t="s">
        <v>368</v>
      </c>
      <c r="B548" s="3">
        <v>47435</v>
      </c>
      <c r="C548" s="1">
        <v>100</v>
      </c>
      <c r="D548" s="1">
        <v>3.654795</v>
      </c>
      <c r="E548" s="1">
        <v>0</v>
      </c>
      <c r="F548" s="1">
        <v>3.654795</v>
      </c>
    </row>
    <row r="549" spans="1:6">
      <c r="A549" s="1" t="s">
        <v>368</v>
      </c>
      <c r="B549" s="3">
        <v>47616</v>
      </c>
      <c r="C549" s="1">
        <v>100</v>
      </c>
      <c r="D549" s="1">
        <v>3.595205</v>
      </c>
      <c r="E549" s="1">
        <v>0</v>
      </c>
      <c r="F549" s="1">
        <v>3.595205</v>
      </c>
    </row>
    <row r="550" spans="1:6">
      <c r="A550" s="1" t="s">
        <v>368</v>
      </c>
      <c r="B550" s="3">
        <v>47800</v>
      </c>
      <c r="C550" s="1">
        <v>100</v>
      </c>
      <c r="D550" s="1">
        <v>3.654795</v>
      </c>
      <c r="E550" s="1">
        <v>0</v>
      </c>
      <c r="F550" s="1">
        <v>3.654795</v>
      </c>
    </row>
    <row r="551" spans="1:6">
      <c r="A551" s="1" t="s">
        <v>368</v>
      </c>
      <c r="B551" s="3">
        <v>47981</v>
      </c>
      <c r="C551" s="1">
        <v>100</v>
      </c>
      <c r="D551" s="1">
        <v>3.595205</v>
      </c>
      <c r="E551" s="1">
        <v>0</v>
      </c>
      <c r="F551" s="1">
        <v>3.595205</v>
      </c>
    </row>
    <row r="552" spans="1:6">
      <c r="A552" s="1" t="s">
        <v>368</v>
      </c>
      <c r="B552" s="3">
        <v>48165</v>
      </c>
      <c r="C552" s="1">
        <v>0</v>
      </c>
      <c r="D552" s="1">
        <v>3.654795</v>
      </c>
      <c r="E552" s="1">
        <v>100</v>
      </c>
      <c r="F552" s="1">
        <v>103.654795</v>
      </c>
    </row>
    <row r="553" spans="1:6">
      <c r="A553" s="1" t="s">
        <v>369</v>
      </c>
      <c r="B553" s="3">
        <v>46059</v>
      </c>
      <c r="C553" s="1">
        <v>100</v>
      </c>
      <c r="D553" s="1">
        <v>3.654795</v>
      </c>
      <c r="E553" s="1">
        <v>0</v>
      </c>
      <c r="F553" s="1">
        <v>3.654795</v>
      </c>
    </row>
    <row r="554" spans="1:6">
      <c r="A554" s="1" t="s">
        <v>369</v>
      </c>
      <c r="B554" s="3">
        <v>46240</v>
      </c>
      <c r="C554" s="1">
        <v>100</v>
      </c>
      <c r="D554" s="1">
        <v>3.595205</v>
      </c>
      <c r="E554" s="1">
        <v>0</v>
      </c>
      <c r="F554" s="1">
        <v>3.595205</v>
      </c>
    </row>
    <row r="555" spans="1:6">
      <c r="A555" s="1" t="s">
        <v>369</v>
      </c>
      <c r="B555" s="3">
        <v>46428</v>
      </c>
      <c r="C555" s="1">
        <v>100</v>
      </c>
      <c r="D555" s="1">
        <v>3.654795</v>
      </c>
      <c r="E555" s="1">
        <v>0</v>
      </c>
      <c r="F555" s="1">
        <v>3.654795</v>
      </c>
    </row>
    <row r="556" spans="1:6">
      <c r="A556" s="1" t="s">
        <v>369</v>
      </c>
      <c r="B556" s="3">
        <v>46605</v>
      </c>
      <c r="C556" s="1">
        <v>100</v>
      </c>
      <c r="D556" s="1">
        <v>3.595205</v>
      </c>
      <c r="E556" s="1">
        <v>0</v>
      </c>
      <c r="F556" s="1">
        <v>3.595205</v>
      </c>
    </row>
    <row r="557" spans="1:6">
      <c r="A557" s="1" t="s">
        <v>369</v>
      </c>
      <c r="B557" s="3">
        <v>46790</v>
      </c>
      <c r="C557" s="1">
        <v>100</v>
      </c>
      <c r="D557" s="1">
        <v>3.654795</v>
      </c>
      <c r="E557" s="1">
        <v>0</v>
      </c>
      <c r="F557" s="1">
        <v>3.654795</v>
      </c>
    </row>
    <row r="558" spans="1:6">
      <c r="A558" s="1" t="s">
        <v>369</v>
      </c>
      <c r="B558" s="3">
        <v>46972</v>
      </c>
      <c r="C558" s="1">
        <v>0</v>
      </c>
      <c r="D558" s="1">
        <v>3.634932</v>
      </c>
      <c r="E558" s="1">
        <v>100</v>
      </c>
      <c r="F558" s="1">
        <v>103.634932</v>
      </c>
    </row>
    <row r="559" spans="1:6">
      <c r="A559" s="1" t="s">
        <v>370</v>
      </c>
      <c r="B559" s="3">
        <v>46296</v>
      </c>
      <c r="C559" s="1">
        <v>100</v>
      </c>
      <c r="D559" s="1">
        <v>2.752521</v>
      </c>
      <c r="E559" s="1">
        <v>0</v>
      </c>
      <c r="F559" s="1">
        <v>2.752521</v>
      </c>
    </row>
    <row r="560" spans="1:6">
      <c r="A560" s="1" t="s">
        <v>370</v>
      </c>
      <c r="B560" s="3">
        <v>46478</v>
      </c>
      <c r="C560" s="1">
        <v>100</v>
      </c>
      <c r="D560" s="1">
        <v>2.737479</v>
      </c>
      <c r="E560" s="1">
        <v>0</v>
      </c>
      <c r="F560" s="1">
        <v>2.737479</v>
      </c>
    </row>
    <row r="561" spans="1:6">
      <c r="A561" s="1" t="s">
        <v>370</v>
      </c>
      <c r="B561" s="3">
        <v>46661</v>
      </c>
      <c r="C561" s="1">
        <v>100</v>
      </c>
      <c r="D561" s="1">
        <v>2.752521</v>
      </c>
      <c r="E561" s="1">
        <v>0</v>
      </c>
      <c r="F561" s="1">
        <v>2.752521</v>
      </c>
    </row>
    <row r="562" spans="1:6">
      <c r="A562" s="1" t="s">
        <v>370</v>
      </c>
      <c r="B562" s="3">
        <v>46846</v>
      </c>
      <c r="C562" s="1">
        <v>100</v>
      </c>
      <c r="D562" s="1">
        <v>2.752521</v>
      </c>
      <c r="E562" s="1">
        <v>0</v>
      </c>
      <c r="F562" s="1">
        <v>2.752521</v>
      </c>
    </row>
    <row r="563" spans="1:6">
      <c r="A563" s="1" t="s">
        <v>370</v>
      </c>
      <c r="B563" s="3">
        <v>47028</v>
      </c>
      <c r="C563" s="1">
        <v>100</v>
      </c>
      <c r="D563" s="1">
        <v>2.752521</v>
      </c>
      <c r="E563" s="1">
        <v>0</v>
      </c>
      <c r="F563" s="1">
        <v>2.752521</v>
      </c>
    </row>
    <row r="564" spans="1:6">
      <c r="A564" s="1" t="s">
        <v>370</v>
      </c>
      <c r="B564" s="3">
        <v>47211</v>
      </c>
      <c r="C564" s="1">
        <v>0</v>
      </c>
      <c r="D564" s="1">
        <v>2.767562</v>
      </c>
      <c r="E564" s="1">
        <v>100</v>
      </c>
      <c r="F564" s="1">
        <v>102.767562</v>
      </c>
    </row>
    <row r="565" spans="1:6">
      <c r="A565" s="1" t="s">
        <v>371</v>
      </c>
      <c r="B565" s="3">
        <v>45910</v>
      </c>
      <c r="C565" s="1">
        <v>100</v>
      </c>
      <c r="D565" s="1">
        <v>3.982466</v>
      </c>
      <c r="E565" s="1">
        <v>0</v>
      </c>
      <c r="F565" s="1">
        <v>3.982466</v>
      </c>
    </row>
    <row r="566" spans="1:6">
      <c r="A566" s="1" t="s">
        <v>371</v>
      </c>
      <c r="B566" s="3">
        <v>46091</v>
      </c>
      <c r="C566" s="1">
        <v>100</v>
      </c>
      <c r="D566" s="1">
        <v>3.917534</v>
      </c>
      <c r="E566" s="1">
        <v>0</v>
      </c>
      <c r="F566" s="1">
        <v>3.917534</v>
      </c>
    </row>
    <row r="567" spans="1:6">
      <c r="A567" s="1" t="s">
        <v>371</v>
      </c>
      <c r="B567" s="3">
        <v>46275</v>
      </c>
      <c r="C567" s="1">
        <v>100</v>
      </c>
      <c r="D567" s="1">
        <v>3.982466</v>
      </c>
      <c r="E567" s="1">
        <v>0</v>
      </c>
      <c r="F567" s="1">
        <v>3.982466</v>
      </c>
    </row>
    <row r="568" spans="1:6">
      <c r="A568" s="1" t="s">
        <v>371</v>
      </c>
      <c r="B568" s="3">
        <v>46456</v>
      </c>
      <c r="C568" s="1">
        <v>100</v>
      </c>
      <c r="D568" s="1">
        <v>3.917534</v>
      </c>
      <c r="E568" s="1">
        <v>0</v>
      </c>
      <c r="F568" s="1">
        <v>3.917534</v>
      </c>
    </row>
    <row r="569" spans="1:6">
      <c r="A569" s="1" t="s">
        <v>371</v>
      </c>
      <c r="B569" s="3">
        <v>46640</v>
      </c>
      <c r="C569" s="1">
        <v>100</v>
      </c>
      <c r="D569" s="1">
        <v>3.982466</v>
      </c>
      <c r="E569" s="1">
        <v>0</v>
      </c>
      <c r="F569" s="1">
        <v>3.982466</v>
      </c>
    </row>
    <row r="570" spans="1:6">
      <c r="A570" s="1" t="s">
        <v>371</v>
      </c>
      <c r="B570" s="3">
        <v>46822</v>
      </c>
      <c r="C570" s="1">
        <v>100</v>
      </c>
      <c r="D570" s="1">
        <v>3.939178</v>
      </c>
      <c r="E570" s="1">
        <v>0</v>
      </c>
      <c r="F570" s="1">
        <v>3.939178</v>
      </c>
    </row>
    <row r="571" spans="1:6">
      <c r="A571" s="1" t="s">
        <v>371</v>
      </c>
      <c r="B571" s="3">
        <v>47007</v>
      </c>
      <c r="C571" s="1">
        <v>100</v>
      </c>
      <c r="D571" s="1">
        <v>3.982466</v>
      </c>
      <c r="E571" s="1">
        <v>0</v>
      </c>
      <c r="F571" s="1">
        <v>3.982466</v>
      </c>
    </row>
    <row r="572" spans="1:6">
      <c r="A572" s="1" t="s">
        <v>371</v>
      </c>
      <c r="B572" s="3">
        <v>47189</v>
      </c>
      <c r="C572" s="1">
        <v>0</v>
      </c>
      <c r="D572" s="1">
        <v>3.960822</v>
      </c>
      <c r="E572" s="1">
        <v>100</v>
      </c>
      <c r="F572" s="1">
        <v>103.960822</v>
      </c>
    </row>
    <row r="573" spans="1:6">
      <c r="A573" s="1" t="s">
        <v>372</v>
      </c>
      <c r="B573" s="3">
        <v>46337</v>
      </c>
      <c r="C573" s="1">
        <v>100</v>
      </c>
      <c r="D573" s="1">
        <v>3.780822</v>
      </c>
      <c r="E573" s="1">
        <v>0</v>
      </c>
      <c r="F573" s="1">
        <v>3.780822</v>
      </c>
    </row>
    <row r="574" spans="1:6">
      <c r="A574" s="1" t="s">
        <v>372</v>
      </c>
      <c r="B574" s="3">
        <v>46518</v>
      </c>
      <c r="C574" s="1">
        <v>100</v>
      </c>
      <c r="D574" s="1">
        <v>3.719178</v>
      </c>
      <c r="E574" s="1">
        <v>0</v>
      </c>
      <c r="F574" s="1">
        <v>3.719178</v>
      </c>
    </row>
    <row r="575" spans="1:6">
      <c r="A575" s="1" t="s">
        <v>372</v>
      </c>
      <c r="B575" s="3">
        <v>46702</v>
      </c>
      <c r="C575" s="1">
        <v>100</v>
      </c>
      <c r="D575" s="1">
        <v>3.780822</v>
      </c>
      <c r="E575" s="1">
        <v>0</v>
      </c>
      <c r="F575" s="1">
        <v>3.780822</v>
      </c>
    </row>
    <row r="576" spans="1:6">
      <c r="A576" s="1" t="s">
        <v>372</v>
      </c>
      <c r="B576" s="3">
        <v>46884</v>
      </c>
      <c r="C576" s="1">
        <v>100</v>
      </c>
      <c r="D576" s="1">
        <v>3.739726</v>
      </c>
      <c r="E576" s="1">
        <v>0</v>
      </c>
      <c r="F576" s="1">
        <v>3.739726</v>
      </c>
    </row>
    <row r="577" spans="1:6">
      <c r="A577" s="1" t="s">
        <v>372</v>
      </c>
      <c r="B577" s="3">
        <v>47070</v>
      </c>
      <c r="C577" s="1">
        <v>100</v>
      </c>
      <c r="D577" s="1">
        <v>3.780822</v>
      </c>
      <c r="E577" s="1">
        <v>0</v>
      </c>
      <c r="F577" s="1">
        <v>3.780822</v>
      </c>
    </row>
    <row r="578" spans="1:6">
      <c r="A578" s="1" t="s">
        <v>372</v>
      </c>
      <c r="B578" s="3">
        <v>47249</v>
      </c>
      <c r="C578" s="1">
        <v>100</v>
      </c>
      <c r="D578" s="1">
        <v>3.719178</v>
      </c>
      <c r="E578" s="1">
        <v>0</v>
      </c>
      <c r="F578" s="1">
        <v>3.719178</v>
      </c>
    </row>
    <row r="579" spans="1:6">
      <c r="A579" s="1" t="s">
        <v>372</v>
      </c>
      <c r="B579" s="3">
        <v>47434</v>
      </c>
      <c r="C579" s="1">
        <v>100</v>
      </c>
      <c r="D579" s="1">
        <v>3.780822</v>
      </c>
      <c r="E579" s="1">
        <v>0</v>
      </c>
      <c r="F579" s="1">
        <v>3.780822</v>
      </c>
    </row>
    <row r="580" spans="1:6">
      <c r="A580" s="1" t="s">
        <v>372</v>
      </c>
      <c r="B580" s="3">
        <v>47616</v>
      </c>
      <c r="C580" s="1">
        <v>0</v>
      </c>
      <c r="D580" s="1">
        <v>3.719178</v>
      </c>
      <c r="E580" s="1">
        <v>100</v>
      </c>
      <c r="F580" s="1">
        <v>103.719178</v>
      </c>
    </row>
    <row r="581" spans="1:6">
      <c r="A581" s="1" t="s">
        <v>373</v>
      </c>
      <c r="B581" s="3">
        <v>46353</v>
      </c>
      <c r="C581" s="1">
        <v>100</v>
      </c>
      <c r="D581" s="1">
        <v>4.861644</v>
      </c>
      <c r="E581" s="1">
        <v>0</v>
      </c>
      <c r="F581" s="1">
        <v>4.861644</v>
      </c>
    </row>
    <row r="582" spans="1:6">
      <c r="A582" s="1" t="s">
        <v>373</v>
      </c>
      <c r="B582" s="3">
        <v>46534</v>
      </c>
      <c r="C582" s="1">
        <v>100</v>
      </c>
      <c r="D582" s="1">
        <v>3.223288</v>
      </c>
      <c r="E582" s="1">
        <v>0</v>
      </c>
      <c r="F582" s="1">
        <v>3.223288</v>
      </c>
    </row>
    <row r="583" spans="1:6">
      <c r="A583" s="1" t="s">
        <v>373</v>
      </c>
      <c r="B583" s="3">
        <v>46720</v>
      </c>
      <c r="C583" s="1">
        <v>100</v>
      </c>
      <c r="D583" s="1">
        <v>3.276712</v>
      </c>
      <c r="E583" s="1">
        <v>0</v>
      </c>
      <c r="F583" s="1">
        <v>3.276712</v>
      </c>
    </row>
    <row r="584" spans="1:6">
      <c r="A584" s="1" t="s">
        <v>373</v>
      </c>
      <c r="B584" s="3">
        <v>46902</v>
      </c>
      <c r="C584" s="1">
        <v>100</v>
      </c>
      <c r="D584" s="1">
        <v>3.241096</v>
      </c>
      <c r="E584" s="1">
        <v>0</v>
      </c>
      <c r="F584" s="1">
        <v>3.241096</v>
      </c>
    </row>
    <row r="585" spans="1:6">
      <c r="A585" s="1" t="s">
        <v>373</v>
      </c>
      <c r="B585" s="3">
        <v>47084</v>
      </c>
      <c r="C585" s="1">
        <v>100</v>
      </c>
      <c r="D585" s="1">
        <v>3.276712</v>
      </c>
      <c r="E585" s="1">
        <v>0</v>
      </c>
      <c r="F585" s="1">
        <v>3.276712</v>
      </c>
    </row>
    <row r="586" spans="1:6">
      <c r="A586" s="1" t="s">
        <v>373</v>
      </c>
      <c r="B586" s="3">
        <v>47176</v>
      </c>
      <c r="C586" s="1">
        <v>0</v>
      </c>
      <c r="D586" s="1">
        <v>1.638356</v>
      </c>
      <c r="E586" s="1">
        <v>100</v>
      </c>
      <c r="F586" s="1">
        <v>101.638356</v>
      </c>
    </row>
    <row r="587" spans="1:6">
      <c r="A587" s="1" t="s">
        <v>374</v>
      </c>
      <c r="B587" s="3">
        <v>45957</v>
      </c>
      <c r="C587" s="1">
        <v>100</v>
      </c>
      <c r="D587" s="1">
        <v>5.609589</v>
      </c>
      <c r="E587" s="1">
        <v>0</v>
      </c>
      <c r="F587" s="1">
        <v>5.609589</v>
      </c>
    </row>
    <row r="588" spans="1:6">
      <c r="A588" s="1" t="s">
        <v>374</v>
      </c>
      <c r="B588" s="3">
        <v>46139</v>
      </c>
      <c r="C588" s="1">
        <v>100</v>
      </c>
      <c r="D588" s="1">
        <v>3.739726</v>
      </c>
      <c r="E588" s="1">
        <v>0</v>
      </c>
      <c r="F588" s="1">
        <v>3.739726</v>
      </c>
    </row>
    <row r="589" spans="1:6">
      <c r="A589" s="1" t="s">
        <v>374</v>
      </c>
      <c r="B589" s="3">
        <v>46322</v>
      </c>
      <c r="C589" s="1">
        <v>100</v>
      </c>
      <c r="D589" s="1">
        <v>3.760274</v>
      </c>
      <c r="E589" s="1">
        <v>0</v>
      </c>
      <c r="F589" s="1">
        <v>3.760274</v>
      </c>
    </row>
    <row r="590" spans="1:6">
      <c r="A590" s="1" t="s">
        <v>374</v>
      </c>
      <c r="B590" s="3">
        <v>46504</v>
      </c>
      <c r="C590" s="1">
        <v>100</v>
      </c>
      <c r="D590" s="1">
        <v>3.739726</v>
      </c>
      <c r="E590" s="1">
        <v>0</v>
      </c>
      <c r="F590" s="1">
        <v>3.739726</v>
      </c>
    </row>
    <row r="591" spans="1:6">
      <c r="A591" s="1" t="s">
        <v>374</v>
      </c>
      <c r="B591" s="3">
        <v>46687</v>
      </c>
      <c r="C591" s="1">
        <v>100</v>
      </c>
      <c r="D591" s="1">
        <v>3.760274</v>
      </c>
      <c r="E591" s="1">
        <v>0</v>
      </c>
      <c r="F591" s="1">
        <v>3.760274</v>
      </c>
    </row>
    <row r="592" spans="1:6">
      <c r="A592" s="1" t="s">
        <v>374</v>
      </c>
      <c r="B592" s="3">
        <v>46870</v>
      </c>
      <c r="C592" s="1">
        <v>100</v>
      </c>
      <c r="D592" s="1">
        <v>3.760274</v>
      </c>
      <c r="E592" s="1">
        <v>0</v>
      </c>
      <c r="F592" s="1">
        <v>3.760274</v>
      </c>
    </row>
    <row r="593" spans="1:6">
      <c r="A593" s="1" t="s">
        <v>374</v>
      </c>
      <c r="B593" s="3">
        <v>47053</v>
      </c>
      <c r="C593" s="1">
        <v>100</v>
      </c>
      <c r="D593" s="1">
        <v>3.760274</v>
      </c>
      <c r="E593" s="1">
        <v>0</v>
      </c>
      <c r="F593" s="1">
        <v>3.760274</v>
      </c>
    </row>
    <row r="594" spans="1:6">
      <c r="A594" s="1" t="s">
        <v>374</v>
      </c>
      <c r="B594" s="3">
        <v>47235</v>
      </c>
      <c r="C594" s="1">
        <v>100</v>
      </c>
      <c r="D594" s="1">
        <v>3.739726</v>
      </c>
      <c r="E594" s="1">
        <v>0</v>
      </c>
      <c r="F594" s="1">
        <v>3.739726</v>
      </c>
    </row>
    <row r="595" spans="1:6">
      <c r="A595" s="1" t="s">
        <v>374</v>
      </c>
      <c r="B595" s="3">
        <v>47420</v>
      </c>
      <c r="C595" s="1">
        <v>100</v>
      </c>
      <c r="D595" s="1">
        <v>3.760274</v>
      </c>
      <c r="E595" s="1">
        <v>0</v>
      </c>
      <c r="F595" s="1">
        <v>3.760274</v>
      </c>
    </row>
    <row r="596" spans="1:6">
      <c r="A596" s="1" t="s">
        <v>374</v>
      </c>
      <c r="B596" s="3">
        <v>47511</v>
      </c>
      <c r="C596" s="1">
        <v>0</v>
      </c>
      <c r="D596" s="1">
        <v>1.910959</v>
      </c>
      <c r="E596" s="1">
        <v>100</v>
      </c>
      <c r="F596" s="1">
        <v>101.910959</v>
      </c>
    </row>
    <row r="597" spans="1:6">
      <c r="A597" s="1" t="s">
        <v>375</v>
      </c>
      <c r="B597" s="3">
        <v>45757</v>
      </c>
      <c r="C597" s="1">
        <v>100</v>
      </c>
      <c r="D597" s="1">
        <v>3.814521</v>
      </c>
      <c r="E597" s="1">
        <v>0</v>
      </c>
      <c r="F597" s="1">
        <v>3.814521</v>
      </c>
    </row>
    <row r="598" spans="1:6">
      <c r="A598" s="1" t="s">
        <v>375</v>
      </c>
      <c r="B598" s="3">
        <v>45943</v>
      </c>
      <c r="C598" s="1">
        <v>100</v>
      </c>
      <c r="D598" s="1">
        <v>3.835479</v>
      </c>
      <c r="E598" s="1">
        <v>0</v>
      </c>
      <c r="F598" s="1">
        <v>3.835479</v>
      </c>
    </row>
    <row r="599" spans="1:6">
      <c r="A599" s="1" t="s">
        <v>375</v>
      </c>
      <c r="B599" s="3">
        <v>46122</v>
      </c>
      <c r="C599" s="1">
        <v>100</v>
      </c>
      <c r="D599" s="1">
        <v>3.814521</v>
      </c>
      <c r="E599" s="1">
        <v>0</v>
      </c>
      <c r="F599" s="1">
        <v>3.814521</v>
      </c>
    </row>
    <row r="600" spans="1:6">
      <c r="A600" s="1" t="s">
        <v>375</v>
      </c>
      <c r="B600" s="3">
        <v>46308</v>
      </c>
      <c r="C600" s="1">
        <v>100</v>
      </c>
      <c r="D600" s="1">
        <v>3.835479</v>
      </c>
      <c r="E600" s="1">
        <v>0</v>
      </c>
      <c r="F600" s="1">
        <v>3.835479</v>
      </c>
    </row>
    <row r="601" spans="1:6">
      <c r="A601" s="1" t="s">
        <v>375</v>
      </c>
      <c r="B601" s="3">
        <v>46489</v>
      </c>
      <c r="C601" s="1">
        <v>100</v>
      </c>
      <c r="D601" s="1">
        <v>3.814521</v>
      </c>
      <c r="E601" s="1">
        <v>0</v>
      </c>
      <c r="F601" s="1">
        <v>3.814521</v>
      </c>
    </row>
    <row r="602" spans="1:6">
      <c r="A602" s="1" t="s">
        <v>375</v>
      </c>
      <c r="B602" s="3">
        <v>46671</v>
      </c>
      <c r="C602" s="1">
        <v>100</v>
      </c>
      <c r="D602" s="1">
        <v>3.835479</v>
      </c>
      <c r="E602" s="1">
        <v>0</v>
      </c>
      <c r="F602" s="1">
        <v>3.835479</v>
      </c>
    </row>
    <row r="603" spans="1:6">
      <c r="A603" s="1" t="s">
        <v>375</v>
      </c>
      <c r="B603" s="3">
        <v>46853</v>
      </c>
      <c r="C603" s="1">
        <v>100</v>
      </c>
      <c r="D603" s="1">
        <v>3.835479</v>
      </c>
      <c r="E603" s="1">
        <v>0</v>
      </c>
      <c r="F603" s="1">
        <v>3.835479</v>
      </c>
    </row>
    <row r="604" spans="1:6">
      <c r="A604" s="1" t="s">
        <v>375</v>
      </c>
      <c r="B604" s="3">
        <v>47036</v>
      </c>
      <c r="C604" s="1">
        <v>100</v>
      </c>
      <c r="D604" s="1">
        <v>3.835479</v>
      </c>
      <c r="E604" s="1">
        <v>0</v>
      </c>
      <c r="F604" s="1">
        <v>3.835479</v>
      </c>
    </row>
    <row r="605" spans="1:6">
      <c r="A605" s="1" t="s">
        <v>375</v>
      </c>
      <c r="B605" s="3">
        <v>47218</v>
      </c>
      <c r="C605" s="1">
        <v>100</v>
      </c>
      <c r="D605" s="1">
        <v>3.814521</v>
      </c>
      <c r="E605" s="1">
        <v>0</v>
      </c>
      <c r="F605" s="1">
        <v>3.814521</v>
      </c>
    </row>
    <row r="606" spans="1:6">
      <c r="A606" s="1" t="s">
        <v>375</v>
      </c>
      <c r="B606" s="3">
        <v>47401</v>
      </c>
      <c r="C606" s="1">
        <v>67</v>
      </c>
      <c r="D606" s="1">
        <v>3.835479</v>
      </c>
      <c r="E606" s="1">
        <v>33</v>
      </c>
      <c r="F606" s="1">
        <v>36.835479</v>
      </c>
    </row>
    <row r="607" spans="1:6">
      <c r="A607" s="1" t="s">
        <v>375</v>
      </c>
      <c r="B607" s="3">
        <v>47583</v>
      </c>
      <c r="C607" s="1">
        <v>67</v>
      </c>
      <c r="D607" s="1">
        <v>2.555729</v>
      </c>
      <c r="E607" s="1">
        <v>0</v>
      </c>
      <c r="F607" s="1">
        <v>2.555729</v>
      </c>
    </row>
    <row r="608" spans="1:6">
      <c r="A608" s="1" t="s">
        <v>375</v>
      </c>
      <c r="B608" s="3">
        <v>47766</v>
      </c>
      <c r="C608" s="1">
        <v>34</v>
      </c>
      <c r="D608" s="1">
        <v>2.569771</v>
      </c>
      <c r="E608" s="1">
        <v>33</v>
      </c>
      <c r="F608" s="1">
        <v>35.569771</v>
      </c>
    </row>
    <row r="609" spans="1:6">
      <c r="A609" s="1" t="s">
        <v>375</v>
      </c>
      <c r="B609" s="3">
        <v>47948</v>
      </c>
      <c r="C609" s="1">
        <v>34</v>
      </c>
      <c r="D609" s="1">
        <v>1.296937</v>
      </c>
      <c r="E609" s="1">
        <v>0</v>
      </c>
      <c r="F609" s="1">
        <v>1.296937</v>
      </c>
    </row>
    <row r="610" spans="1:6">
      <c r="A610" s="1" t="s">
        <v>375</v>
      </c>
      <c r="B610" s="3">
        <v>48131</v>
      </c>
      <c r="C610" s="1">
        <v>0</v>
      </c>
      <c r="D610" s="1">
        <v>1.304063</v>
      </c>
      <c r="E610" s="1">
        <v>34</v>
      </c>
      <c r="F610" s="1">
        <v>35.304063</v>
      </c>
    </row>
    <row r="611" spans="1:6">
      <c r="A611" s="1" t="s">
        <v>376</v>
      </c>
      <c r="B611" s="3">
        <v>45876</v>
      </c>
      <c r="C611" s="1">
        <v>100</v>
      </c>
      <c r="D611" s="1">
        <v>1.764384</v>
      </c>
      <c r="E611" s="1">
        <v>0</v>
      </c>
      <c r="F611" s="1">
        <v>1.764384</v>
      </c>
    </row>
    <row r="612" spans="1:6">
      <c r="A612" s="1" t="s">
        <v>376</v>
      </c>
      <c r="B612" s="3">
        <v>45968</v>
      </c>
      <c r="C612" s="1">
        <v>100</v>
      </c>
      <c r="D612" s="1">
        <v>1.764384</v>
      </c>
      <c r="E612" s="1">
        <v>0</v>
      </c>
      <c r="F612" s="1">
        <v>1.764384</v>
      </c>
    </row>
    <row r="613" spans="1:6">
      <c r="A613" s="1" t="s">
        <v>376</v>
      </c>
      <c r="B613" s="3">
        <v>46062</v>
      </c>
      <c r="C613" s="1">
        <v>100</v>
      </c>
      <c r="D613" s="1">
        <v>1.764384</v>
      </c>
      <c r="E613" s="1">
        <v>0</v>
      </c>
      <c r="F613" s="1">
        <v>1.764384</v>
      </c>
    </row>
    <row r="614" spans="1:6">
      <c r="A614" s="1" t="s">
        <v>376</v>
      </c>
      <c r="B614" s="3">
        <v>46149</v>
      </c>
      <c r="C614" s="1">
        <v>100</v>
      </c>
      <c r="D614" s="1">
        <v>1.706849</v>
      </c>
      <c r="E614" s="1">
        <v>0</v>
      </c>
      <c r="F614" s="1">
        <v>1.706849</v>
      </c>
    </row>
    <row r="615" spans="1:6">
      <c r="A615" s="1" t="s">
        <v>376</v>
      </c>
      <c r="B615" s="3">
        <v>46241</v>
      </c>
      <c r="C615" s="1">
        <v>100</v>
      </c>
      <c r="D615" s="1">
        <v>1.764384</v>
      </c>
      <c r="E615" s="1">
        <v>0</v>
      </c>
      <c r="F615" s="1">
        <v>1.764384</v>
      </c>
    </row>
    <row r="616" spans="1:6">
      <c r="A616" s="1" t="s">
        <v>376</v>
      </c>
      <c r="B616" s="3">
        <v>46335</v>
      </c>
      <c r="C616" s="1">
        <v>100</v>
      </c>
      <c r="D616" s="1">
        <v>1.764384</v>
      </c>
      <c r="E616" s="1">
        <v>0</v>
      </c>
      <c r="F616" s="1">
        <v>1.764384</v>
      </c>
    </row>
    <row r="617" spans="1:6">
      <c r="A617" s="1" t="s">
        <v>376</v>
      </c>
      <c r="B617" s="3">
        <v>46428</v>
      </c>
      <c r="C617" s="1">
        <v>100</v>
      </c>
      <c r="D617" s="1">
        <v>1.764384</v>
      </c>
      <c r="E617" s="1">
        <v>0</v>
      </c>
      <c r="F617" s="1">
        <v>1.764384</v>
      </c>
    </row>
    <row r="618" spans="1:6">
      <c r="A618" s="1" t="s">
        <v>376</v>
      </c>
      <c r="B618" s="3">
        <v>46514</v>
      </c>
      <c r="C618" s="1">
        <v>0</v>
      </c>
      <c r="D618" s="1">
        <v>1.706849</v>
      </c>
      <c r="E618" s="1">
        <v>100</v>
      </c>
      <c r="F618" s="1">
        <v>101.706849</v>
      </c>
    </row>
    <row r="619" spans="1:6">
      <c r="A619" s="1" t="s">
        <v>377</v>
      </c>
      <c r="B619" s="3">
        <v>45952</v>
      </c>
      <c r="C619" s="1">
        <v>100</v>
      </c>
      <c r="D619" s="1">
        <v>1.890411</v>
      </c>
      <c r="E619" s="1">
        <v>0</v>
      </c>
      <c r="F619" s="1">
        <v>1.890411</v>
      </c>
    </row>
    <row r="620" spans="1:6">
      <c r="A620" s="1" t="s">
        <v>377</v>
      </c>
      <c r="B620" s="3">
        <v>46044</v>
      </c>
      <c r="C620" s="1">
        <v>100</v>
      </c>
      <c r="D620" s="1">
        <v>1.890411</v>
      </c>
      <c r="E620" s="1">
        <v>0</v>
      </c>
      <c r="F620" s="1">
        <v>1.890411</v>
      </c>
    </row>
    <row r="621" spans="1:6">
      <c r="A621" s="1" t="s">
        <v>377</v>
      </c>
      <c r="B621" s="3">
        <v>46134</v>
      </c>
      <c r="C621" s="1">
        <v>100</v>
      </c>
      <c r="D621" s="1">
        <v>1.849315</v>
      </c>
      <c r="E621" s="1">
        <v>0</v>
      </c>
      <c r="F621" s="1">
        <v>1.849315</v>
      </c>
    </row>
    <row r="622" spans="1:6">
      <c r="A622" s="1" t="s">
        <v>377</v>
      </c>
      <c r="B622" s="3">
        <v>46225</v>
      </c>
      <c r="C622" s="1">
        <v>100</v>
      </c>
      <c r="D622" s="1">
        <v>1.869863</v>
      </c>
      <c r="E622" s="1">
        <v>0</v>
      </c>
      <c r="F622" s="1">
        <v>1.869863</v>
      </c>
    </row>
    <row r="623" spans="1:6">
      <c r="A623" s="1" t="s">
        <v>377</v>
      </c>
      <c r="B623" s="3">
        <v>46317</v>
      </c>
      <c r="C623" s="1">
        <v>100</v>
      </c>
      <c r="D623" s="1">
        <v>1.890411</v>
      </c>
      <c r="E623" s="1">
        <v>0</v>
      </c>
      <c r="F623" s="1">
        <v>1.890411</v>
      </c>
    </row>
    <row r="624" spans="1:6">
      <c r="A624" s="1" t="s">
        <v>377</v>
      </c>
      <c r="B624" s="3">
        <v>46409</v>
      </c>
      <c r="C624" s="1">
        <v>100</v>
      </c>
      <c r="D624" s="1">
        <v>1.890411</v>
      </c>
      <c r="E624" s="1">
        <v>0</v>
      </c>
      <c r="F624" s="1">
        <v>1.890411</v>
      </c>
    </row>
    <row r="625" spans="1:6">
      <c r="A625" s="1" t="s">
        <v>377</v>
      </c>
      <c r="B625" s="3">
        <v>46499</v>
      </c>
      <c r="C625" s="1">
        <v>100</v>
      </c>
      <c r="D625" s="1">
        <v>1.849315</v>
      </c>
      <c r="E625" s="1">
        <v>0</v>
      </c>
      <c r="F625" s="1">
        <v>1.849315</v>
      </c>
    </row>
    <row r="626" spans="1:6">
      <c r="A626" s="1" t="s">
        <v>377</v>
      </c>
      <c r="B626" s="3">
        <v>46590</v>
      </c>
      <c r="C626" s="1">
        <v>0</v>
      </c>
      <c r="D626" s="1">
        <v>1.869863</v>
      </c>
      <c r="E626" s="1">
        <v>100</v>
      </c>
      <c r="F626" s="1">
        <v>101.869863</v>
      </c>
    </row>
    <row r="627" spans="1:6">
      <c r="A627" s="1" t="s">
        <v>378</v>
      </c>
      <c r="B627" s="3">
        <v>45848</v>
      </c>
      <c r="C627" s="1">
        <v>100</v>
      </c>
      <c r="D627" s="1">
        <v>4.861644</v>
      </c>
      <c r="E627" s="1">
        <v>0</v>
      </c>
      <c r="F627" s="1">
        <v>4.861644</v>
      </c>
    </row>
    <row r="628" spans="1:6">
      <c r="A628" s="1" t="s">
        <v>378</v>
      </c>
      <c r="B628" s="3">
        <v>45943</v>
      </c>
      <c r="C628" s="1">
        <v>100</v>
      </c>
      <c r="D628" s="1">
        <v>1.638356</v>
      </c>
      <c r="E628" s="1">
        <v>0</v>
      </c>
      <c r="F628" s="1">
        <v>1.638356</v>
      </c>
    </row>
    <row r="629" spans="1:6">
      <c r="A629" s="1" t="s">
        <v>378</v>
      </c>
      <c r="B629" s="3">
        <v>46034</v>
      </c>
      <c r="C629" s="1">
        <v>100</v>
      </c>
      <c r="D629" s="1">
        <v>1.638356</v>
      </c>
      <c r="E629" s="1">
        <v>0</v>
      </c>
      <c r="F629" s="1">
        <v>1.638356</v>
      </c>
    </row>
    <row r="630" spans="1:6">
      <c r="A630" s="1" t="s">
        <v>378</v>
      </c>
      <c r="B630" s="3">
        <v>46122</v>
      </c>
      <c r="C630" s="1">
        <v>100</v>
      </c>
      <c r="D630" s="1">
        <v>1.60274</v>
      </c>
      <c r="E630" s="1">
        <v>0</v>
      </c>
      <c r="F630" s="1">
        <v>1.60274</v>
      </c>
    </row>
    <row r="631" spans="1:6">
      <c r="A631" s="1" t="s">
        <v>378</v>
      </c>
      <c r="B631" s="3">
        <v>46216</v>
      </c>
      <c r="C631" s="1">
        <v>100</v>
      </c>
      <c r="D631" s="1">
        <v>1.620548</v>
      </c>
      <c r="E631" s="1">
        <v>0</v>
      </c>
      <c r="F631" s="1">
        <v>1.620548</v>
      </c>
    </row>
    <row r="632" spans="1:6">
      <c r="A632" s="1" t="s">
        <v>378</v>
      </c>
      <c r="B632" s="3">
        <v>46308</v>
      </c>
      <c r="C632" s="1">
        <v>100</v>
      </c>
      <c r="D632" s="1">
        <v>1.638356</v>
      </c>
      <c r="E632" s="1">
        <v>0</v>
      </c>
      <c r="F632" s="1">
        <v>1.638356</v>
      </c>
    </row>
    <row r="633" spans="1:6">
      <c r="A633" s="1" t="s">
        <v>378</v>
      </c>
      <c r="B633" s="3">
        <v>46398</v>
      </c>
      <c r="C633" s="1">
        <v>100</v>
      </c>
      <c r="D633" s="1">
        <v>1.638356</v>
      </c>
      <c r="E633" s="1">
        <v>0</v>
      </c>
      <c r="F633" s="1">
        <v>1.638356</v>
      </c>
    </row>
    <row r="634" spans="1:6">
      <c r="A634" s="1" t="s">
        <v>378</v>
      </c>
      <c r="B634" s="3">
        <v>46489</v>
      </c>
      <c r="C634" s="1">
        <v>100</v>
      </c>
      <c r="D634" s="1">
        <v>1.60274</v>
      </c>
      <c r="E634" s="1">
        <v>0</v>
      </c>
      <c r="F634" s="1">
        <v>1.60274</v>
      </c>
    </row>
    <row r="635" spans="1:6">
      <c r="A635" s="1" t="s">
        <v>378</v>
      </c>
      <c r="B635" s="3">
        <v>46580</v>
      </c>
      <c r="C635" s="1">
        <v>100</v>
      </c>
      <c r="D635" s="1">
        <v>1.620548</v>
      </c>
      <c r="E635" s="1">
        <v>0</v>
      </c>
      <c r="F635" s="1">
        <v>1.620548</v>
      </c>
    </row>
    <row r="636" spans="1:6">
      <c r="A636" s="1" t="s">
        <v>378</v>
      </c>
      <c r="B636" s="3">
        <v>46671</v>
      </c>
      <c r="C636" s="1">
        <v>100</v>
      </c>
      <c r="D636" s="1">
        <v>1.638356</v>
      </c>
      <c r="E636" s="1">
        <v>0</v>
      </c>
      <c r="F636" s="1">
        <v>1.638356</v>
      </c>
    </row>
    <row r="637" spans="1:6">
      <c r="A637" s="1" t="s">
        <v>378</v>
      </c>
      <c r="B637" s="3">
        <v>46762</v>
      </c>
      <c r="C637" s="1">
        <v>100</v>
      </c>
      <c r="D637" s="1">
        <v>1.638356</v>
      </c>
      <c r="E637" s="1">
        <v>0</v>
      </c>
      <c r="F637" s="1">
        <v>1.638356</v>
      </c>
    </row>
    <row r="638" spans="1:6">
      <c r="A638" s="1" t="s">
        <v>378</v>
      </c>
      <c r="B638" s="3">
        <v>46853</v>
      </c>
      <c r="C638" s="1">
        <v>100</v>
      </c>
      <c r="D638" s="1">
        <v>1.620548</v>
      </c>
      <c r="E638" s="1">
        <v>0</v>
      </c>
      <c r="F638" s="1">
        <v>1.620548</v>
      </c>
    </row>
    <row r="639" spans="1:6">
      <c r="A639" s="1" t="s">
        <v>378</v>
      </c>
      <c r="B639" s="3">
        <v>46944</v>
      </c>
      <c r="C639" s="1">
        <v>100</v>
      </c>
      <c r="D639" s="1">
        <v>1.620548</v>
      </c>
      <c r="E639" s="1">
        <v>0</v>
      </c>
      <c r="F639" s="1">
        <v>1.620548</v>
      </c>
    </row>
    <row r="640" spans="1:6">
      <c r="A640" s="1" t="s">
        <v>378</v>
      </c>
      <c r="B640" s="3">
        <v>47036</v>
      </c>
      <c r="C640" s="1">
        <v>0</v>
      </c>
      <c r="D640" s="1">
        <v>1.638356</v>
      </c>
      <c r="E640" s="1">
        <v>100</v>
      </c>
      <c r="F640" s="1">
        <v>101.638356</v>
      </c>
    </row>
    <row r="641" spans="1:6">
      <c r="A641" s="1" t="s">
        <v>379</v>
      </c>
      <c r="B641" s="3">
        <v>46175</v>
      </c>
      <c r="C641" s="1">
        <v>100</v>
      </c>
      <c r="D641" s="1">
        <v>3.490411</v>
      </c>
      <c r="E641" s="1">
        <v>0</v>
      </c>
      <c r="F641" s="1">
        <v>3.490411</v>
      </c>
    </row>
    <row r="642" spans="1:6">
      <c r="A642" s="1" t="s">
        <v>379</v>
      </c>
      <c r="B642" s="3">
        <v>46358</v>
      </c>
      <c r="C642" s="1">
        <v>100</v>
      </c>
      <c r="D642" s="1">
        <v>3.509589</v>
      </c>
      <c r="E642" s="1">
        <v>0</v>
      </c>
      <c r="F642" s="1">
        <v>3.509589</v>
      </c>
    </row>
    <row r="643" spans="1:6">
      <c r="A643" s="1" t="s">
        <v>379</v>
      </c>
      <c r="B643" s="3">
        <v>46540</v>
      </c>
      <c r="C643" s="1">
        <v>100</v>
      </c>
      <c r="D643" s="1">
        <v>3.490411</v>
      </c>
      <c r="E643" s="1">
        <v>0</v>
      </c>
      <c r="F643" s="1">
        <v>3.490411</v>
      </c>
    </row>
    <row r="644" spans="1:6">
      <c r="A644" s="1" t="s">
        <v>379</v>
      </c>
      <c r="B644" s="3">
        <v>46723</v>
      </c>
      <c r="C644" s="1">
        <v>100</v>
      </c>
      <c r="D644" s="1">
        <v>3.509589</v>
      </c>
      <c r="E644" s="1">
        <v>0</v>
      </c>
      <c r="F644" s="1">
        <v>3.509589</v>
      </c>
    </row>
    <row r="645" spans="1:6">
      <c r="A645" s="1" t="s">
        <v>379</v>
      </c>
      <c r="B645" s="3">
        <v>46906</v>
      </c>
      <c r="C645" s="1">
        <v>100</v>
      </c>
      <c r="D645" s="1">
        <v>3.509589</v>
      </c>
      <c r="E645" s="1">
        <v>0</v>
      </c>
      <c r="F645" s="1">
        <v>3.509589</v>
      </c>
    </row>
    <row r="646" spans="1:6">
      <c r="A646" s="1" t="s">
        <v>379</v>
      </c>
      <c r="B646" s="3">
        <v>47091</v>
      </c>
      <c r="C646" s="1">
        <v>100</v>
      </c>
      <c r="D646" s="1">
        <v>3.509589</v>
      </c>
      <c r="E646" s="1">
        <v>0</v>
      </c>
      <c r="F646" s="1">
        <v>3.509589</v>
      </c>
    </row>
    <row r="647" spans="1:6">
      <c r="A647" s="1" t="s">
        <v>379</v>
      </c>
      <c r="B647" s="3">
        <v>47179</v>
      </c>
      <c r="C647" s="1">
        <v>0</v>
      </c>
      <c r="D647" s="1">
        <v>1.726027</v>
      </c>
      <c r="E647" s="1">
        <v>100</v>
      </c>
      <c r="F647" s="1">
        <v>101.726027</v>
      </c>
    </row>
    <row r="648" spans="1:6">
      <c r="A648" s="1" t="s">
        <v>380</v>
      </c>
      <c r="B648" s="3">
        <v>46401</v>
      </c>
      <c r="C648" s="1">
        <v>100</v>
      </c>
      <c r="D648" s="1">
        <v>4.143836</v>
      </c>
      <c r="E648" s="1">
        <v>0</v>
      </c>
      <c r="F648" s="1">
        <v>4.143836</v>
      </c>
    </row>
    <row r="649" spans="1:6">
      <c r="A649" s="1" t="s">
        <v>380</v>
      </c>
      <c r="B649" s="3">
        <v>46582</v>
      </c>
      <c r="C649" s="1">
        <v>100</v>
      </c>
      <c r="D649" s="1">
        <v>2.727397</v>
      </c>
      <c r="E649" s="1">
        <v>0</v>
      </c>
      <c r="F649" s="1">
        <v>2.727397</v>
      </c>
    </row>
    <row r="650" spans="1:6">
      <c r="A650" s="1" t="s">
        <v>380</v>
      </c>
      <c r="B650" s="3">
        <v>46766</v>
      </c>
      <c r="C650" s="1">
        <v>100</v>
      </c>
      <c r="D650" s="1">
        <v>2.772603</v>
      </c>
      <c r="E650" s="1">
        <v>0</v>
      </c>
      <c r="F650" s="1">
        <v>2.772603</v>
      </c>
    </row>
    <row r="651" spans="1:6">
      <c r="A651" s="1" t="s">
        <v>380</v>
      </c>
      <c r="B651" s="3">
        <v>46948</v>
      </c>
      <c r="C651" s="1">
        <v>100</v>
      </c>
      <c r="D651" s="1">
        <v>2.742466</v>
      </c>
      <c r="E651" s="1">
        <v>0</v>
      </c>
      <c r="F651" s="1">
        <v>2.742466</v>
      </c>
    </row>
    <row r="652" spans="1:6">
      <c r="A652" s="1" t="s">
        <v>380</v>
      </c>
      <c r="B652" s="3">
        <v>47133</v>
      </c>
      <c r="C652" s="1">
        <v>100</v>
      </c>
      <c r="D652" s="1">
        <v>2.772603</v>
      </c>
      <c r="E652" s="1">
        <v>0</v>
      </c>
      <c r="F652" s="1">
        <v>2.772603</v>
      </c>
    </row>
    <row r="653" spans="1:6">
      <c r="A653" s="1" t="s">
        <v>380</v>
      </c>
      <c r="B653" s="3">
        <v>47315</v>
      </c>
      <c r="C653" s="1">
        <v>100</v>
      </c>
      <c r="D653" s="1">
        <v>2.727397</v>
      </c>
      <c r="E653" s="1">
        <v>0</v>
      </c>
      <c r="F653" s="1">
        <v>2.727397</v>
      </c>
    </row>
    <row r="654" spans="1:6">
      <c r="A654" s="1" t="s">
        <v>380</v>
      </c>
      <c r="B654" s="3">
        <v>47497</v>
      </c>
      <c r="C654" s="1">
        <v>100</v>
      </c>
      <c r="D654" s="1">
        <v>2.772603</v>
      </c>
      <c r="E654" s="1">
        <v>0</v>
      </c>
      <c r="F654" s="1">
        <v>2.772603</v>
      </c>
    </row>
    <row r="655" spans="1:6">
      <c r="A655" s="1" t="s">
        <v>380</v>
      </c>
      <c r="B655" s="3">
        <v>47585</v>
      </c>
      <c r="C655" s="1">
        <v>0</v>
      </c>
      <c r="D655" s="1">
        <v>1.356164</v>
      </c>
      <c r="E655" s="1">
        <v>100</v>
      </c>
      <c r="F655" s="1">
        <v>101.356164</v>
      </c>
    </row>
    <row r="656" spans="1:6">
      <c r="A656" s="1" t="s">
        <v>381</v>
      </c>
      <c r="B656" s="3">
        <v>46044</v>
      </c>
      <c r="C656" s="1">
        <v>100</v>
      </c>
      <c r="D656" s="1">
        <v>4.410959</v>
      </c>
      <c r="E656" s="1">
        <v>0</v>
      </c>
      <c r="F656" s="1">
        <v>4.410959</v>
      </c>
    </row>
    <row r="657" spans="1:6">
      <c r="A657" s="1" t="s">
        <v>381</v>
      </c>
      <c r="B657" s="3">
        <v>46225</v>
      </c>
      <c r="C657" s="1">
        <v>100</v>
      </c>
      <c r="D657" s="1">
        <v>4.339041</v>
      </c>
      <c r="E657" s="1">
        <v>0</v>
      </c>
      <c r="F657" s="1">
        <v>4.339041</v>
      </c>
    </row>
    <row r="658" spans="1:6">
      <c r="A658" s="1" t="s">
        <v>381</v>
      </c>
      <c r="B658" s="3">
        <v>46409</v>
      </c>
      <c r="C658" s="1">
        <v>100</v>
      </c>
      <c r="D658" s="1">
        <v>4.410959</v>
      </c>
      <c r="E658" s="1">
        <v>0</v>
      </c>
      <c r="F658" s="1">
        <v>4.410959</v>
      </c>
    </row>
    <row r="659" spans="1:6">
      <c r="A659" s="1" t="s">
        <v>381</v>
      </c>
      <c r="B659" s="3">
        <v>46590</v>
      </c>
      <c r="C659" s="1">
        <v>100</v>
      </c>
      <c r="D659" s="1">
        <v>4.339041</v>
      </c>
      <c r="E659" s="1">
        <v>0</v>
      </c>
      <c r="F659" s="1">
        <v>4.339041</v>
      </c>
    </row>
    <row r="660" spans="1:6">
      <c r="A660" s="1" t="s">
        <v>381</v>
      </c>
      <c r="B660" s="3">
        <v>46776</v>
      </c>
      <c r="C660" s="1">
        <v>100</v>
      </c>
      <c r="D660" s="1">
        <v>4.410959</v>
      </c>
      <c r="E660" s="1">
        <v>0</v>
      </c>
      <c r="F660" s="1">
        <v>4.410959</v>
      </c>
    </row>
    <row r="661" spans="1:6">
      <c r="A661" s="1" t="s">
        <v>381</v>
      </c>
      <c r="B661" s="3">
        <v>46958</v>
      </c>
      <c r="C661" s="1">
        <v>100</v>
      </c>
      <c r="D661" s="1">
        <v>4.363014</v>
      </c>
      <c r="E661" s="1">
        <v>0</v>
      </c>
      <c r="F661" s="1">
        <v>4.363014</v>
      </c>
    </row>
    <row r="662" spans="1:6">
      <c r="A662" s="1" t="s">
        <v>381</v>
      </c>
      <c r="B662" s="3">
        <v>47140</v>
      </c>
      <c r="C662" s="1">
        <v>100</v>
      </c>
      <c r="D662" s="1">
        <v>4.410959</v>
      </c>
      <c r="E662" s="1">
        <v>0</v>
      </c>
      <c r="F662" s="1">
        <v>4.410959</v>
      </c>
    </row>
    <row r="663" spans="1:6">
      <c r="A663" s="1" t="s">
        <v>381</v>
      </c>
      <c r="B663" s="3">
        <v>47322</v>
      </c>
      <c r="C663" s="1">
        <v>100</v>
      </c>
      <c r="D663" s="1">
        <v>4.339041</v>
      </c>
      <c r="E663" s="1">
        <v>0</v>
      </c>
      <c r="F663" s="1">
        <v>4.339041</v>
      </c>
    </row>
    <row r="664" spans="1:6">
      <c r="A664" s="1" t="s">
        <v>381</v>
      </c>
      <c r="B664" s="3">
        <v>47505</v>
      </c>
      <c r="C664" s="1">
        <v>100</v>
      </c>
      <c r="D664" s="1">
        <v>4.410959</v>
      </c>
      <c r="E664" s="1">
        <v>0</v>
      </c>
      <c r="F664" s="1">
        <v>4.410959</v>
      </c>
    </row>
    <row r="665" spans="1:6">
      <c r="A665" s="1" t="s">
        <v>381</v>
      </c>
      <c r="B665" s="3">
        <v>47686</v>
      </c>
      <c r="C665" s="1">
        <v>0</v>
      </c>
      <c r="D665" s="1">
        <v>4.339041</v>
      </c>
      <c r="E665" s="1">
        <v>100</v>
      </c>
      <c r="F665" s="1">
        <v>104.339041</v>
      </c>
    </row>
    <row r="666" spans="1:6">
      <c r="A666" s="1" t="s">
        <v>382</v>
      </c>
      <c r="B666" s="3">
        <v>46071</v>
      </c>
      <c r="C666" s="1">
        <v>100</v>
      </c>
      <c r="D666" s="1">
        <v>3.150685</v>
      </c>
      <c r="E666" s="1">
        <v>0</v>
      </c>
      <c r="F666" s="1">
        <v>3.150685</v>
      </c>
    </row>
    <row r="667" spans="1:6">
      <c r="A667" s="1" t="s">
        <v>382</v>
      </c>
      <c r="B667" s="3">
        <v>46265</v>
      </c>
      <c r="C667" s="1">
        <v>0</v>
      </c>
      <c r="D667" s="1">
        <v>3.390411</v>
      </c>
      <c r="E667" s="1">
        <v>100</v>
      </c>
      <c r="F667" s="1">
        <v>103.390411</v>
      </c>
    </row>
    <row r="668" spans="1:6">
      <c r="A668" s="1" t="s">
        <v>383</v>
      </c>
      <c r="B668" s="3">
        <v>46076</v>
      </c>
      <c r="C668" s="1">
        <v>100</v>
      </c>
      <c r="D668" s="1">
        <v>3.024658</v>
      </c>
      <c r="E668" s="1">
        <v>0</v>
      </c>
      <c r="F668" s="1">
        <v>3.024658</v>
      </c>
    </row>
    <row r="669" spans="1:6">
      <c r="A669" s="1" t="s">
        <v>383</v>
      </c>
      <c r="B669" s="3">
        <v>46258</v>
      </c>
      <c r="C669" s="1">
        <v>0</v>
      </c>
      <c r="D669" s="1">
        <v>3.008219</v>
      </c>
      <c r="E669" s="1">
        <v>100</v>
      </c>
      <c r="F669" s="1">
        <v>103.008219</v>
      </c>
    </row>
    <row r="670" spans="1:6">
      <c r="A670" s="1" t="s">
        <v>384</v>
      </c>
      <c r="B670" s="3">
        <v>46176</v>
      </c>
      <c r="C670" s="1">
        <v>100</v>
      </c>
      <c r="D670" s="1">
        <v>3.989041</v>
      </c>
      <c r="E670" s="1">
        <v>0</v>
      </c>
      <c r="F670" s="1">
        <v>3.989041</v>
      </c>
    </row>
    <row r="671" spans="1:6">
      <c r="A671" s="1" t="s">
        <v>384</v>
      </c>
      <c r="B671" s="3">
        <v>46359</v>
      </c>
      <c r="C671" s="1">
        <v>100</v>
      </c>
      <c r="D671" s="1">
        <v>4.010959</v>
      </c>
      <c r="E671" s="1">
        <v>0</v>
      </c>
      <c r="F671" s="1">
        <v>4.010959</v>
      </c>
    </row>
    <row r="672" spans="1:6">
      <c r="A672" s="1" t="s">
        <v>384</v>
      </c>
      <c r="B672" s="3">
        <v>46541</v>
      </c>
      <c r="C672" s="1">
        <v>100</v>
      </c>
      <c r="D672" s="1">
        <v>3.989041</v>
      </c>
      <c r="E672" s="1">
        <v>0</v>
      </c>
      <c r="F672" s="1">
        <v>3.989041</v>
      </c>
    </row>
    <row r="673" spans="1:6">
      <c r="A673" s="1" t="s">
        <v>384</v>
      </c>
      <c r="B673" s="3">
        <v>46724</v>
      </c>
      <c r="C673" s="1">
        <v>100</v>
      </c>
      <c r="D673" s="1">
        <v>4.010959</v>
      </c>
      <c r="E673" s="1">
        <v>0</v>
      </c>
      <c r="F673" s="1">
        <v>4.010959</v>
      </c>
    </row>
    <row r="674" spans="1:6">
      <c r="A674" s="1" t="s">
        <v>384</v>
      </c>
      <c r="B674" s="3">
        <v>46909</v>
      </c>
      <c r="C674" s="1">
        <v>0</v>
      </c>
      <c r="D674" s="1">
        <v>4.054795</v>
      </c>
      <c r="E674" s="1">
        <v>100</v>
      </c>
      <c r="F674" s="1">
        <v>104.054795</v>
      </c>
    </row>
    <row r="675" spans="1:6">
      <c r="A675" s="1" t="s">
        <v>385</v>
      </c>
      <c r="B675" s="3">
        <v>45988</v>
      </c>
      <c r="C675" s="1">
        <v>100</v>
      </c>
      <c r="D675" s="1">
        <v>3.780822</v>
      </c>
      <c r="E675" s="1">
        <v>0</v>
      </c>
      <c r="F675" s="1">
        <v>3.780822</v>
      </c>
    </row>
    <row r="676" spans="1:6">
      <c r="A676" s="1" t="s">
        <v>385</v>
      </c>
      <c r="B676" s="3">
        <v>46169</v>
      </c>
      <c r="C676" s="1">
        <v>100</v>
      </c>
      <c r="D676" s="1">
        <v>3.719178</v>
      </c>
      <c r="E676" s="1">
        <v>0</v>
      </c>
      <c r="F676" s="1">
        <v>3.719178</v>
      </c>
    </row>
    <row r="677" spans="1:6">
      <c r="A677" s="1" t="s">
        <v>385</v>
      </c>
      <c r="B677" s="3">
        <v>46353</v>
      </c>
      <c r="C677" s="1">
        <v>100</v>
      </c>
      <c r="D677" s="1">
        <v>3.780822</v>
      </c>
      <c r="E677" s="1">
        <v>0</v>
      </c>
      <c r="F677" s="1">
        <v>3.780822</v>
      </c>
    </row>
    <row r="678" spans="1:6">
      <c r="A678" s="1" t="s">
        <v>385</v>
      </c>
      <c r="B678" s="3">
        <v>46534</v>
      </c>
      <c r="C678" s="1">
        <v>0</v>
      </c>
      <c r="D678" s="1">
        <v>3.719178</v>
      </c>
      <c r="E678" s="1">
        <v>100</v>
      </c>
      <c r="F678" s="1">
        <v>103.719178</v>
      </c>
    </row>
    <row r="679" spans="1:6">
      <c r="A679" s="1" t="s">
        <v>386</v>
      </c>
      <c r="B679" s="3">
        <v>46365</v>
      </c>
      <c r="C679" s="1">
        <v>100</v>
      </c>
      <c r="D679" s="1">
        <v>3.258904</v>
      </c>
      <c r="E679" s="1">
        <v>0</v>
      </c>
      <c r="F679" s="1">
        <v>3.258904</v>
      </c>
    </row>
    <row r="680" spans="1:6">
      <c r="A680" s="1" t="s">
        <v>386</v>
      </c>
      <c r="B680" s="3">
        <v>46546</v>
      </c>
      <c r="C680" s="1">
        <v>100</v>
      </c>
      <c r="D680" s="1">
        <v>3.241096</v>
      </c>
      <c r="E680" s="1">
        <v>0</v>
      </c>
      <c r="F680" s="1">
        <v>3.241096</v>
      </c>
    </row>
    <row r="681" spans="1:6">
      <c r="A681" s="1" t="s">
        <v>386</v>
      </c>
      <c r="B681" s="3">
        <v>46730</v>
      </c>
      <c r="C681" s="1">
        <v>100</v>
      </c>
      <c r="D681" s="1">
        <v>3.258904</v>
      </c>
      <c r="E681" s="1">
        <v>0</v>
      </c>
      <c r="F681" s="1">
        <v>3.258904</v>
      </c>
    </row>
    <row r="682" spans="1:6">
      <c r="A682" s="1" t="s">
        <v>386</v>
      </c>
      <c r="B682" s="3">
        <v>46912</v>
      </c>
      <c r="C682" s="1">
        <v>100</v>
      </c>
      <c r="D682" s="1">
        <v>3.258904</v>
      </c>
      <c r="E682" s="1">
        <v>0</v>
      </c>
      <c r="F682" s="1">
        <v>3.258904</v>
      </c>
    </row>
    <row r="683" spans="1:6">
      <c r="A683" s="1" t="s">
        <v>386</v>
      </c>
      <c r="B683" s="3">
        <v>47098</v>
      </c>
      <c r="C683" s="1">
        <v>0</v>
      </c>
      <c r="D683" s="1">
        <v>3.312329</v>
      </c>
      <c r="E683" s="1">
        <v>100</v>
      </c>
      <c r="F683" s="1">
        <v>103.312329</v>
      </c>
    </row>
    <row r="684" spans="1:6">
      <c r="A684" s="1" t="s">
        <v>387</v>
      </c>
      <c r="B684" s="3">
        <v>46079</v>
      </c>
      <c r="C684" s="1">
        <v>100</v>
      </c>
      <c r="D684" s="1">
        <v>1.638356</v>
      </c>
      <c r="E684" s="1">
        <v>0</v>
      </c>
      <c r="F684" s="1">
        <v>1.638356</v>
      </c>
    </row>
    <row r="685" spans="1:6">
      <c r="A685" s="1" t="s">
        <v>387</v>
      </c>
      <c r="B685" s="3">
        <v>46168</v>
      </c>
      <c r="C685" s="1">
        <v>100</v>
      </c>
      <c r="D685" s="1">
        <v>1.584932</v>
      </c>
      <c r="E685" s="1">
        <v>0</v>
      </c>
      <c r="F685" s="1">
        <v>1.584932</v>
      </c>
    </row>
    <row r="686" spans="1:6">
      <c r="A686" s="1" t="s">
        <v>387</v>
      </c>
      <c r="B686" s="3">
        <v>46265</v>
      </c>
      <c r="C686" s="1">
        <v>0</v>
      </c>
      <c r="D686" s="1">
        <v>1.727397</v>
      </c>
      <c r="E686" s="1">
        <v>100</v>
      </c>
      <c r="F686" s="1">
        <v>101.727397</v>
      </c>
    </row>
    <row r="687" spans="1:6">
      <c r="A687" s="1" t="s">
        <v>388</v>
      </c>
      <c r="B687" s="3">
        <v>46048</v>
      </c>
      <c r="C687" s="1">
        <v>100</v>
      </c>
      <c r="D687" s="1">
        <v>4.032877</v>
      </c>
      <c r="E687" s="1">
        <v>0</v>
      </c>
      <c r="F687" s="1">
        <v>4.032877</v>
      </c>
    </row>
    <row r="688" spans="1:6">
      <c r="A688" s="1" t="s">
        <v>388</v>
      </c>
      <c r="B688" s="3">
        <v>46227</v>
      </c>
      <c r="C688" s="1">
        <v>100</v>
      </c>
      <c r="D688" s="1">
        <v>3.967123</v>
      </c>
      <c r="E688" s="1">
        <v>0</v>
      </c>
      <c r="F688" s="1">
        <v>3.967123</v>
      </c>
    </row>
    <row r="689" spans="1:6">
      <c r="A689" s="1" t="s">
        <v>388</v>
      </c>
      <c r="B689" s="3">
        <v>46412</v>
      </c>
      <c r="C689" s="1">
        <v>100</v>
      </c>
      <c r="D689" s="1">
        <v>4.032877</v>
      </c>
      <c r="E689" s="1">
        <v>0</v>
      </c>
      <c r="F689" s="1">
        <v>4.032877</v>
      </c>
    </row>
    <row r="690" spans="1:6">
      <c r="A690" s="1" t="s">
        <v>388</v>
      </c>
      <c r="B690" s="3">
        <v>46594</v>
      </c>
      <c r="C690" s="1">
        <v>0</v>
      </c>
      <c r="D690" s="1">
        <v>4.010959</v>
      </c>
      <c r="E690" s="1">
        <v>100</v>
      </c>
      <c r="F690" s="1">
        <v>104.010959</v>
      </c>
    </row>
    <row r="691" spans="1:6">
      <c r="A691" s="1" t="s">
        <v>389</v>
      </c>
      <c r="B691" s="3">
        <v>46262</v>
      </c>
      <c r="C691" s="1">
        <v>100</v>
      </c>
      <c r="D691" s="1">
        <v>2.016438</v>
      </c>
      <c r="E691" s="1">
        <v>0</v>
      </c>
      <c r="F691" s="1">
        <v>2.016438</v>
      </c>
    </row>
    <row r="692" spans="1:6">
      <c r="A692" s="1" t="s">
        <v>389</v>
      </c>
      <c r="B692" s="3">
        <v>46356</v>
      </c>
      <c r="C692" s="1">
        <v>100</v>
      </c>
      <c r="D692" s="1">
        <v>2.016438</v>
      </c>
      <c r="E692" s="1">
        <v>0</v>
      </c>
      <c r="F692" s="1">
        <v>2.016438</v>
      </c>
    </row>
    <row r="693" spans="1:6">
      <c r="A693" s="1" t="s">
        <v>389</v>
      </c>
      <c r="B693" s="3">
        <v>46447</v>
      </c>
      <c r="C693" s="1">
        <v>100</v>
      </c>
      <c r="D693" s="1">
        <v>2.016438</v>
      </c>
      <c r="E693" s="1">
        <v>0</v>
      </c>
      <c r="F693" s="1">
        <v>2.016438</v>
      </c>
    </row>
    <row r="694" spans="1:6">
      <c r="A694" s="1" t="s">
        <v>389</v>
      </c>
      <c r="B694" s="3">
        <v>46535</v>
      </c>
      <c r="C694" s="1">
        <v>100</v>
      </c>
      <c r="D694" s="1">
        <v>1.950685</v>
      </c>
      <c r="E694" s="1">
        <v>0</v>
      </c>
      <c r="F694" s="1">
        <v>1.950685</v>
      </c>
    </row>
    <row r="695" spans="1:6">
      <c r="A695" s="1" t="s">
        <v>389</v>
      </c>
      <c r="B695" s="3">
        <v>46629</v>
      </c>
      <c r="C695" s="1">
        <v>100</v>
      </c>
      <c r="D695" s="1">
        <v>2.016438</v>
      </c>
      <c r="E695" s="1">
        <v>0</v>
      </c>
      <c r="F695" s="1">
        <v>2.016438</v>
      </c>
    </row>
    <row r="696" spans="1:6">
      <c r="A696" s="1" t="s">
        <v>389</v>
      </c>
      <c r="B696" s="3">
        <v>46720</v>
      </c>
      <c r="C696" s="1">
        <v>100</v>
      </c>
      <c r="D696" s="1">
        <v>2.016438</v>
      </c>
      <c r="E696" s="1">
        <v>0</v>
      </c>
      <c r="F696" s="1">
        <v>2.016438</v>
      </c>
    </row>
    <row r="697" spans="1:6">
      <c r="A697" s="1" t="s">
        <v>389</v>
      </c>
      <c r="B697" s="3">
        <v>46813</v>
      </c>
      <c r="C697" s="1">
        <v>100</v>
      </c>
      <c r="D697" s="1">
        <v>2.016438</v>
      </c>
      <c r="E697" s="1">
        <v>0</v>
      </c>
      <c r="F697" s="1">
        <v>2.016438</v>
      </c>
    </row>
    <row r="698" spans="1:6">
      <c r="A698" s="1" t="s">
        <v>389</v>
      </c>
      <c r="B698" s="3">
        <v>46902</v>
      </c>
      <c r="C698" s="1">
        <v>0</v>
      </c>
      <c r="D698" s="1">
        <v>1.994521</v>
      </c>
      <c r="E698" s="1">
        <v>100</v>
      </c>
      <c r="F698" s="1">
        <v>101.994521</v>
      </c>
    </row>
    <row r="699" spans="1:6">
      <c r="A699" s="1" t="s">
        <v>390</v>
      </c>
      <c r="B699" s="3">
        <v>46036</v>
      </c>
      <c r="C699" s="1">
        <v>100</v>
      </c>
      <c r="D699" s="1">
        <v>3.654795</v>
      </c>
      <c r="E699" s="1">
        <v>0</v>
      </c>
      <c r="F699" s="1">
        <v>3.654795</v>
      </c>
    </row>
    <row r="700" spans="1:6">
      <c r="A700" s="1" t="s">
        <v>390</v>
      </c>
      <c r="B700" s="3">
        <v>46217</v>
      </c>
      <c r="C700" s="1">
        <v>100</v>
      </c>
      <c r="D700" s="1">
        <v>3.595205</v>
      </c>
      <c r="E700" s="1">
        <v>0</v>
      </c>
      <c r="F700" s="1">
        <v>3.595205</v>
      </c>
    </row>
    <row r="701" spans="1:6">
      <c r="A701" s="1" t="s">
        <v>390</v>
      </c>
      <c r="B701" s="3">
        <v>46401</v>
      </c>
      <c r="C701" s="1">
        <v>100</v>
      </c>
      <c r="D701" s="1">
        <v>3.654795</v>
      </c>
      <c r="E701" s="1">
        <v>0</v>
      </c>
      <c r="F701" s="1">
        <v>3.654795</v>
      </c>
    </row>
    <row r="702" spans="1:6">
      <c r="A702" s="1" t="s">
        <v>390</v>
      </c>
      <c r="B702" s="3">
        <v>46582</v>
      </c>
      <c r="C702" s="1">
        <v>0</v>
      </c>
      <c r="D702" s="1">
        <v>3.595205</v>
      </c>
      <c r="E702" s="1">
        <v>100</v>
      </c>
      <c r="F702" s="1">
        <v>103.595205</v>
      </c>
    </row>
    <row r="703" spans="1:6">
      <c r="A703" s="1" t="s">
        <v>391</v>
      </c>
      <c r="B703" s="3">
        <v>46177</v>
      </c>
      <c r="C703" s="1">
        <v>100</v>
      </c>
      <c r="D703" s="1">
        <v>4.113699</v>
      </c>
      <c r="E703" s="1">
        <v>0</v>
      </c>
      <c r="F703" s="1">
        <v>4.113699</v>
      </c>
    </row>
    <row r="704" spans="1:6">
      <c r="A704" s="1" t="s">
        <v>391</v>
      </c>
      <c r="B704" s="3">
        <v>46360</v>
      </c>
      <c r="C704" s="1">
        <v>100</v>
      </c>
      <c r="D704" s="1">
        <v>4.136301</v>
      </c>
      <c r="E704" s="1">
        <v>0</v>
      </c>
      <c r="F704" s="1">
        <v>4.136301</v>
      </c>
    </row>
    <row r="705" spans="1:6">
      <c r="A705" s="1" t="s">
        <v>391</v>
      </c>
      <c r="B705" s="3">
        <v>46542</v>
      </c>
      <c r="C705" s="1">
        <v>100</v>
      </c>
      <c r="D705" s="1">
        <v>4.113699</v>
      </c>
      <c r="E705" s="1">
        <v>0</v>
      </c>
      <c r="F705" s="1">
        <v>4.113699</v>
      </c>
    </row>
    <row r="706" spans="1:6">
      <c r="A706" s="1" t="s">
        <v>391</v>
      </c>
      <c r="B706" s="3">
        <v>46727</v>
      </c>
      <c r="C706" s="1">
        <v>100</v>
      </c>
      <c r="D706" s="1">
        <v>4.136301</v>
      </c>
      <c r="E706" s="1">
        <v>0</v>
      </c>
      <c r="F706" s="1">
        <v>4.136301</v>
      </c>
    </row>
    <row r="707" spans="1:6">
      <c r="A707" s="1" t="s">
        <v>391</v>
      </c>
      <c r="B707" s="3">
        <v>46909</v>
      </c>
      <c r="C707" s="1">
        <v>100</v>
      </c>
      <c r="D707" s="1">
        <v>4.136301</v>
      </c>
      <c r="E707" s="1">
        <v>0</v>
      </c>
      <c r="F707" s="1">
        <v>4.136301</v>
      </c>
    </row>
    <row r="708" spans="1:6">
      <c r="A708" s="1" t="s">
        <v>391</v>
      </c>
      <c r="B708" s="3">
        <v>47091</v>
      </c>
      <c r="C708" s="1">
        <v>100</v>
      </c>
      <c r="D708" s="1">
        <v>4.136301</v>
      </c>
      <c r="E708" s="1">
        <v>0</v>
      </c>
      <c r="F708" s="1">
        <v>4.136301</v>
      </c>
    </row>
    <row r="709" spans="1:6">
      <c r="A709" s="1" t="s">
        <v>391</v>
      </c>
      <c r="B709" s="3">
        <v>47273</v>
      </c>
      <c r="C709" s="1">
        <v>0</v>
      </c>
      <c r="D709" s="1">
        <v>4.113699</v>
      </c>
      <c r="E709" s="1">
        <v>100</v>
      </c>
      <c r="F709" s="1">
        <v>104.113699</v>
      </c>
    </row>
    <row r="710" spans="1:6">
      <c r="A710" s="1" t="s">
        <v>392</v>
      </c>
      <c r="B710" s="3">
        <v>46078</v>
      </c>
      <c r="C710" s="1">
        <v>100</v>
      </c>
      <c r="D710" s="1">
        <v>4.032877</v>
      </c>
      <c r="E710" s="1">
        <v>0</v>
      </c>
      <c r="F710" s="1">
        <v>4.032877</v>
      </c>
    </row>
    <row r="711" spans="1:6">
      <c r="A711" s="1" t="s">
        <v>392</v>
      </c>
      <c r="B711" s="3">
        <v>46259</v>
      </c>
      <c r="C711" s="1">
        <v>100</v>
      </c>
      <c r="D711" s="1">
        <v>3.967123</v>
      </c>
      <c r="E711" s="1">
        <v>0</v>
      </c>
      <c r="F711" s="1">
        <v>3.967123</v>
      </c>
    </row>
    <row r="712" spans="1:6">
      <c r="A712" s="1" t="s">
        <v>392</v>
      </c>
      <c r="B712" s="3">
        <v>46443</v>
      </c>
      <c r="C712" s="1">
        <v>100</v>
      </c>
      <c r="D712" s="1">
        <v>4.032877</v>
      </c>
      <c r="E712" s="1">
        <v>0</v>
      </c>
      <c r="F712" s="1">
        <v>4.032877</v>
      </c>
    </row>
    <row r="713" spans="1:6">
      <c r="A713" s="1" t="s">
        <v>392</v>
      </c>
      <c r="B713" s="3">
        <v>46624</v>
      </c>
      <c r="C713" s="1">
        <v>100</v>
      </c>
      <c r="D713" s="1">
        <v>3.967123</v>
      </c>
      <c r="E713" s="1">
        <v>0</v>
      </c>
      <c r="F713" s="1">
        <v>3.967123</v>
      </c>
    </row>
    <row r="714" spans="1:6">
      <c r="A714" s="1" t="s">
        <v>392</v>
      </c>
      <c r="B714" s="3">
        <v>46808</v>
      </c>
      <c r="C714" s="1">
        <v>100</v>
      </c>
      <c r="D714" s="1">
        <v>4.032877</v>
      </c>
      <c r="E714" s="1">
        <v>0</v>
      </c>
      <c r="F714" s="1">
        <v>4.032877</v>
      </c>
    </row>
    <row r="715" spans="1:6">
      <c r="A715" s="1" t="s">
        <v>392</v>
      </c>
      <c r="B715" s="3">
        <v>46990</v>
      </c>
      <c r="C715" s="1">
        <v>100</v>
      </c>
      <c r="D715" s="1">
        <v>3.989041</v>
      </c>
      <c r="E715" s="1">
        <v>0</v>
      </c>
      <c r="F715" s="1">
        <v>3.989041</v>
      </c>
    </row>
    <row r="716" spans="1:6">
      <c r="A716" s="1" t="s">
        <v>392</v>
      </c>
      <c r="B716" s="3">
        <v>47175</v>
      </c>
      <c r="C716" s="1">
        <v>100</v>
      </c>
      <c r="D716" s="1">
        <v>4.032877</v>
      </c>
      <c r="E716" s="1">
        <v>0</v>
      </c>
      <c r="F716" s="1">
        <v>4.032877</v>
      </c>
    </row>
    <row r="717" spans="1:6">
      <c r="A717" s="1" t="s">
        <v>392</v>
      </c>
      <c r="B717" s="3">
        <v>47357</v>
      </c>
      <c r="C717" s="1">
        <v>0</v>
      </c>
      <c r="D717" s="1">
        <v>4.010959</v>
      </c>
      <c r="E717" s="1">
        <v>100</v>
      </c>
      <c r="F717" s="1">
        <v>104.010959</v>
      </c>
    </row>
    <row r="718" spans="1:6">
      <c r="A718" s="1" t="s">
        <v>393</v>
      </c>
      <c r="B718" s="3">
        <v>46325</v>
      </c>
      <c r="C718" s="1">
        <v>100</v>
      </c>
      <c r="D718" s="1">
        <v>3.008219</v>
      </c>
      <c r="E718" s="1">
        <v>0</v>
      </c>
      <c r="F718" s="1">
        <v>3.008219</v>
      </c>
    </row>
    <row r="719" spans="1:6">
      <c r="A719" s="1" t="s">
        <v>393</v>
      </c>
      <c r="B719" s="3">
        <v>46507</v>
      </c>
      <c r="C719" s="1">
        <v>100</v>
      </c>
      <c r="D719" s="1">
        <v>2.991781</v>
      </c>
      <c r="E719" s="1">
        <v>0</v>
      </c>
      <c r="F719" s="1">
        <v>2.991781</v>
      </c>
    </row>
    <row r="720" spans="1:6">
      <c r="A720" s="1" t="s">
        <v>393</v>
      </c>
      <c r="B720" s="3">
        <v>46692</v>
      </c>
      <c r="C720" s="1">
        <v>100</v>
      </c>
      <c r="D720" s="1">
        <v>3.041096</v>
      </c>
      <c r="E720" s="1">
        <v>0</v>
      </c>
      <c r="F720" s="1">
        <v>3.041096</v>
      </c>
    </row>
    <row r="721" spans="1:6">
      <c r="A721" s="1" t="s">
        <v>393</v>
      </c>
      <c r="B721" s="3">
        <v>46875</v>
      </c>
      <c r="C721" s="1">
        <v>100</v>
      </c>
      <c r="D721" s="1">
        <v>3.008219</v>
      </c>
      <c r="E721" s="1">
        <v>0</v>
      </c>
      <c r="F721" s="1">
        <v>3.008219</v>
      </c>
    </row>
    <row r="722" spans="1:6">
      <c r="A722" s="1" t="s">
        <v>393</v>
      </c>
      <c r="B722" s="3">
        <v>47056</v>
      </c>
      <c r="C722" s="1">
        <v>100</v>
      </c>
      <c r="D722" s="1">
        <v>2.975342</v>
      </c>
      <c r="E722" s="1">
        <v>0</v>
      </c>
      <c r="F722" s="1">
        <v>2.975342</v>
      </c>
    </row>
    <row r="723" spans="1:6">
      <c r="A723" s="1" t="s">
        <v>393</v>
      </c>
      <c r="B723" s="3">
        <v>47238</v>
      </c>
      <c r="C723" s="1">
        <v>100</v>
      </c>
      <c r="D723" s="1">
        <v>2.991781</v>
      </c>
      <c r="E723" s="1">
        <v>0</v>
      </c>
      <c r="F723" s="1">
        <v>2.991781</v>
      </c>
    </row>
    <row r="724" spans="1:6">
      <c r="A724" s="1" t="s">
        <v>393</v>
      </c>
      <c r="B724" s="3">
        <v>47421</v>
      </c>
      <c r="C724" s="1">
        <v>100</v>
      </c>
      <c r="D724" s="1">
        <v>3.008219</v>
      </c>
      <c r="E724" s="1">
        <v>0</v>
      </c>
      <c r="F724" s="1">
        <v>3.008219</v>
      </c>
    </row>
    <row r="725" spans="1:6">
      <c r="A725" s="1" t="s">
        <v>393</v>
      </c>
      <c r="B725" s="3">
        <v>47603</v>
      </c>
      <c r="C725" s="1">
        <v>0</v>
      </c>
      <c r="D725" s="1">
        <v>2.991781</v>
      </c>
      <c r="E725" s="1">
        <v>100</v>
      </c>
      <c r="F725" s="1">
        <v>102.991781</v>
      </c>
    </row>
    <row r="726" spans="1:6">
      <c r="A726" s="1" t="s">
        <v>394</v>
      </c>
      <c r="B726" s="3">
        <v>45806</v>
      </c>
      <c r="C726" s="1">
        <v>100</v>
      </c>
      <c r="D726" s="1">
        <v>3.967123</v>
      </c>
      <c r="E726" s="1">
        <v>0</v>
      </c>
      <c r="F726" s="1">
        <v>3.967123</v>
      </c>
    </row>
    <row r="727" spans="1:6">
      <c r="A727" s="1" t="s">
        <v>394</v>
      </c>
      <c r="B727" s="3">
        <v>45992</v>
      </c>
      <c r="C727" s="1">
        <v>100</v>
      </c>
      <c r="D727" s="1">
        <v>4.032877</v>
      </c>
      <c r="E727" s="1">
        <v>0</v>
      </c>
      <c r="F727" s="1">
        <v>4.032877</v>
      </c>
    </row>
    <row r="728" spans="1:6">
      <c r="A728" s="1" t="s">
        <v>394</v>
      </c>
      <c r="B728" s="3">
        <v>46171</v>
      </c>
      <c r="C728" s="1">
        <v>100</v>
      </c>
      <c r="D728" s="1">
        <v>3.967123</v>
      </c>
      <c r="E728" s="1">
        <v>0</v>
      </c>
      <c r="F728" s="1">
        <v>3.967123</v>
      </c>
    </row>
    <row r="729" spans="1:6">
      <c r="A729" s="1" t="s">
        <v>394</v>
      </c>
      <c r="B729" s="3">
        <v>46356</v>
      </c>
      <c r="C729" s="1">
        <v>100</v>
      </c>
      <c r="D729" s="1">
        <v>4.032877</v>
      </c>
      <c r="E729" s="1">
        <v>0</v>
      </c>
      <c r="F729" s="1">
        <v>4.032877</v>
      </c>
    </row>
    <row r="730" spans="1:6">
      <c r="A730" s="1" t="s">
        <v>394</v>
      </c>
      <c r="B730" s="3">
        <v>46538</v>
      </c>
      <c r="C730" s="1">
        <v>100</v>
      </c>
      <c r="D730" s="1">
        <v>3.967123</v>
      </c>
      <c r="E730" s="1">
        <v>0</v>
      </c>
      <c r="F730" s="1">
        <v>3.967123</v>
      </c>
    </row>
    <row r="731" spans="1:6">
      <c r="A731" s="1" t="s">
        <v>394</v>
      </c>
      <c r="B731" s="3">
        <v>46720</v>
      </c>
      <c r="C731" s="1">
        <v>0</v>
      </c>
      <c r="D731" s="1">
        <v>4.032877</v>
      </c>
      <c r="E731" s="1">
        <v>100</v>
      </c>
      <c r="F731" s="1">
        <v>104.032877</v>
      </c>
    </row>
    <row r="732" spans="1:6">
      <c r="A732" s="1" t="s">
        <v>395</v>
      </c>
      <c r="B732" s="3">
        <v>45434</v>
      </c>
      <c r="C732" s="1">
        <v>100</v>
      </c>
      <c r="D732" s="1">
        <v>2.030137</v>
      </c>
      <c r="E732" s="1">
        <v>0</v>
      </c>
      <c r="F732" s="1">
        <v>2.030137</v>
      </c>
    </row>
    <row r="733" spans="1:6">
      <c r="A733" s="1" t="s">
        <v>395</v>
      </c>
      <c r="B733" s="3">
        <v>45618</v>
      </c>
      <c r="C733" s="1">
        <v>100</v>
      </c>
      <c r="D733" s="1">
        <v>4.915068</v>
      </c>
      <c r="E733" s="1">
        <v>0</v>
      </c>
      <c r="F733" s="1">
        <v>4.915068</v>
      </c>
    </row>
    <row r="734" spans="1:6">
      <c r="A734" s="1" t="s">
        <v>395</v>
      </c>
      <c r="B734" s="3">
        <v>45799</v>
      </c>
      <c r="C734" s="1">
        <v>100</v>
      </c>
      <c r="D734" s="1">
        <v>4.834932</v>
      </c>
      <c r="E734" s="1">
        <v>0</v>
      </c>
      <c r="F734" s="1">
        <v>4.834932</v>
      </c>
    </row>
    <row r="735" spans="1:6">
      <c r="A735" s="1" t="s">
        <v>395</v>
      </c>
      <c r="B735" s="3">
        <v>45986</v>
      </c>
      <c r="C735" s="1">
        <v>100</v>
      </c>
      <c r="D735" s="1">
        <v>4.915068</v>
      </c>
      <c r="E735" s="1">
        <v>0</v>
      </c>
      <c r="F735" s="1">
        <v>4.915068</v>
      </c>
    </row>
    <row r="736" spans="1:6">
      <c r="A736" s="1" t="s">
        <v>395</v>
      </c>
      <c r="B736" s="3">
        <v>46164</v>
      </c>
      <c r="C736" s="1">
        <v>100</v>
      </c>
      <c r="D736" s="1">
        <v>4.834932</v>
      </c>
      <c r="E736" s="1">
        <v>0</v>
      </c>
      <c r="F736" s="1">
        <v>4.834932</v>
      </c>
    </row>
    <row r="737" spans="1:6">
      <c r="A737" s="1" t="s">
        <v>395</v>
      </c>
      <c r="B737" s="3">
        <v>46350</v>
      </c>
      <c r="C737" s="1">
        <v>0</v>
      </c>
      <c r="D737" s="1">
        <v>4.968493</v>
      </c>
      <c r="E737" s="1">
        <v>100</v>
      </c>
      <c r="F737" s="1">
        <v>104.968493</v>
      </c>
    </row>
    <row r="738" spans="1:6">
      <c r="A738" s="1" t="s">
        <v>396</v>
      </c>
      <c r="B738" s="3">
        <v>45693</v>
      </c>
      <c r="C738" s="1">
        <v>100</v>
      </c>
      <c r="D738" s="1">
        <v>4.789041</v>
      </c>
      <c r="E738" s="1">
        <v>0</v>
      </c>
      <c r="F738" s="1">
        <v>4.789041</v>
      </c>
    </row>
    <row r="739" spans="1:6">
      <c r="A739" s="1" t="s">
        <v>396</v>
      </c>
      <c r="B739" s="3">
        <v>45874</v>
      </c>
      <c r="C739" s="1">
        <v>100</v>
      </c>
      <c r="D739" s="1">
        <v>4.710959</v>
      </c>
      <c r="E739" s="1">
        <v>0</v>
      </c>
      <c r="F739" s="1">
        <v>4.710959</v>
      </c>
    </row>
    <row r="740" spans="1:6">
      <c r="A740" s="1" t="s">
        <v>396</v>
      </c>
      <c r="B740" s="3">
        <v>46058</v>
      </c>
      <c r="C740" s="1">
        <v>100</v>
      </c>
      <c r="D740" s="1">
        <v>4.789041</v>
      </c>
      <c r="E740" s="1">
        <v>0</v>
      </c>
      <c r="F740" s="1">
        <v>4.789041</v>
      </c>
    </row>
    <row r="741" spans="1:6">
      <c r="A741" s="1" t="s">
        <v>396</v>
      </c>
      <c r="B741" s="3">
        <v>46239</v>
      </c>
      <c r="C741" s="1">
        <v>100</v>
      </c>
      <c r="D741" s="1">
        <v>4.710959</v>
      </c>
      <c r="E741" s="1">
        <v>0</v>
      </c>
      <c r="F741" s="1">
        <v>4.710959</v>
      </c>
    </row>
    <row r="742" spans="1:6">
      <c r="A742" s="1" t="s">
        <v>396</v>
      </c>
      <c r="B742" s="3">
        <v>46423</v>
      </c>
      <c r="C742" s="1">
        <v>100</v>
      </c>
      <c r="D742" s="1">
        <v>4.789041</v>
      </c>
      <c r="E742" s="1">
        <v>0</v>
      </c>
      <c r="F742" s="1">
        <v>4.789041</v>
      </c>
    </row>
    <row r="743" spans="1:6">
      <c r="A743" s="1" t="s">
        <v>396</v>
      </c>
      <c r="B743" s="3">
        <v>46604</v>
      </c>
      <c r="C743" s="1">
        <v>100</v>
      </c>
      <c r="D743" s="1">
        <v>4.710959</v>
      </c>
      <c r="E743" s="1">
        <v>0</v>
      </c>
      <c r="F743" s="1">
        <v>4.710959</v>
      </c>
    </row>
    <row r="744" spans="1:6">
      <c r="A744" s="1" t="s">
        <v>396</v>
      </c>
      <c r="B744" s="3">
        <v>46790</v>
      </c>
      <c r="C744" s="1">
        <v>100</v>
      </c>
      <c r="D744" s="1">
        <v>4.789041</v>
      </c>
      <c r="E744" s="1">
        <v>0</v>
      </c>
      <c r="F744" s="1">
        <v>4.789041</v>
      </c>
    </row>
    <row r="745" spans="1:6">
      <c r="A745" s="1" t="s">
        <v>396</v>
      </c>
      <c r="B745" s="3">
        <v>46972</v>
      </c>
      <c r="C745" s="1">
        <v>0</v>
      </c>
      <c r="D745" s="1">
        <v>4.789041</v>
      </c>
      <c r="E745" s="1">
        <v>100</v>
      </c>
      <c r="F745" s="1">
        <v>104.789041</v>
      </c>
    </row>
    <row r="746" spans="1:6">
      <c r="A746" s="1" t="s">
        <v>397</v>
      </c>
      <c r="B746" s="3">
        <v>46391</v>
      </c>
      <c r="C746" s="1">
        <v>100</v>
      </c>
      <c r="D746" s="1">
        <v>3.780822</v>
      </c>
      <c r="E746" s="1">
        <v>0</v>
      </c>
      <c r="F746" s="1">
        <v>3.780822</v>
      </c>
    </row>
    <row r="747" spans="1:6">
      <c r="A747" s="1" t="s">
        <v>397</v>
      </c>
      <c r="B747" s="3">
        <v>46573</v>
      </c>
      <c r="C747" s="1">
        <v>100</v>
      </c>
      <c r="D747" s="1">
        <v>3.719178</v>
      </c>
      <c r="E747" s="1">
        <v>0</v>
      </c>
      <c r="F747" s="1">
        <v>3.719178</v>
      </c>
    </row>
    <row r="748" spans="1:6">
      <c r="A748" s="1" t="s">
        <v>397</v>
      </c>
      <c r="B748" s="3">
        <v>46755</v>
      </c>
      <c r="C748" s="1">
        <v>100</v>
      </c>
      <c r="D748" s="1">
        <v>3.780822</v>
      </c>
      <c r="E748" s="1">
        <v>0</v>
      </c>
      <c r="F748" s="1">
        <v>3.780822</v>
      </c>
    </row>
    <row r="749" spans="1:6">
      <c r="A749" s="1" t="s">
        <v>397</v>
      </c>
      <c r="B749" s="3">
        <v>46937</v>
      </c>
      <c r="C749" s="1">
        <v>100</v>
      </c>
      <c r="D749" s="1">
        <v>3.739726</v>
      </c>
      <c r="E749" s="1">
        <v>0</v>
      </c>
      <c r="F749" s="1">
        <v>3.739726</v>
      </c>
    </row>
    <row r="750" spans="1:6">
      <c r="A750" s="1" t="s">
        <v>397</v>
      </c>
      <c r="B750" s="3">
        <v>47121</v>
      </c>
      <c r="C750" s="1">
        <v>100</v>
      </c>
      <c r="D750" s="1">
        <v>3.780822</v>
      </c>
      <c r="E750" s="1">
        <v>0</v>
      </c>
      <c r="F750" s="1">
        <v>3.780822</v>
      </c>
    </row>
    <row r="751" spans="1:6">
      <c r="A751" s="1" t="s">
        <v>397</v>
      </c>
      <c r="B751" s="3">
        <v>47302</v>
      </c>
      <c r="C751" s="1">
        <v>0</v>
      </c>
      <c r="D751" s="1">
        <v>3.719178</v>
      </c>
      <c r="E751" s="1">
        <v>100</v>
      </c>
      <c r="F751" s="1">
        <v>103.719178</v>
      </c>
    </row>
    <row r="752" spans="1:6">
      <c r="A752" s="1" t="s">
        <v>398</v>
      </c>
      <c r="B752" s="3">
        <v>46272</v>
      </c>
      <c r="C752" s="1">
        <v>100</v>
      </c>
      <c r="D752" s="1">
        <v>3.276712</v>
      </c>
      <c r="E752" s="1">
        <v>0</v>
      </c>
      <c r="F752" s="1">
        <v>3.276712</v>
      </c>
    </row>
    <row r="753" spans="1:6">
      <c r="A753" s="1" t="s">
        <v>398</v>
      </c>
      <c r="B753" s="3">
        <v>46451</v>
      </c>
      <c r="C753" s="1">
        <v>100</v>
      </c>
      <c r="D753" s="1">
        <v>3.223288</v>
      </c>
      <c r="E753" s="1">
        <v>0</v>
      </c>
      <c r="F753" s="1">
        <v>3.223288</v>
      </c>
    </row>
    <row r="754" spans="1:6">
      <c r="A754" s="1" t="s">
        <v>398</v>
      </c>
      <c r="B754" s="3">
        <v>46636</v>
      </c>
      <c r="C754" s="1">
        <v>100</v>
      </c>
      <c r="D754" s="1">
        <v>3.276712</v>
      </c>
      <c r="E754" s="1">
        <v>0</v>
      </c>
      <c r="F754" s="1">
        <v>3.276712</v>
      </c>
    </row>
    <row r="755" spans="1:6">
      <c r="A755" s="1" t="s">
        <v>398</v>
      </c>
      <c r="B755" s="3">
        <v>46818</v>
      </c>
      <c r="C755" s="1">
        <v>100</v>
      </c>
      <c r="D755" s="1">
        <v>3.241096</v>
      </c>
      <c r="E755" s="1">
        <v>0</v>
      </c>
      <c r="F755" s="1">
        <v>3.241096</v>
      </c>
    </row>
    <row r="756" spans="1:6">
      <c r="A756" s="1" t="s">
        <v>398</v>
      </c>
      <c r="B756" s="3">
        <v>47001</v>
      </c>
      <c r="C756" s="1">
        <v>100</v>
      </c>
      <c r="D756" s="1">
        <v>3.276712</v>
      </c>
      <c r="E756" s="1">
        <v>0</v>
      </c>
      <c r="F756" s="1">
        <v>3.276712</v>
      </c>
    </row>
    <row r="757" spans="1:6">
      <c r="A757" s="1" t="s">
        <v>398</v>
      </c>
      <c r="B757" s="3">
        <v>47182</v>
      </c>
      <c r="C757" s="1">
        <v>0</v>
      </c>
      <c r="D757" s="1">
        <v>3.223288</v>
      </c>
      <c r="E757" s="1">
        <v>100</v>
      </c>
      <c r="F757" s="1">
        <v>103.223288</v>
      </c>
    </row>
    <row r="758" spans="1:6">
      <c r="A758" s="1" t="s">
        <v>399</v>
      </c>
      <c r="B758" s="3">
        <v>46356</v>
      </c>
      <c r="C758" s="1">
        <v>100</v>
      </c>
      <c r="D758" s="1">
        <v>3.150685</v>
      </c>
      <c r="E758" s="1">
        <v>0</v>
      </c>
      <c r="F758" s="1">
        <v>3.150685</v>
      </c>
    </row>
    <row r="759" spans="1:6">
      <c r="A759" s="1" t="s">
        <v>399</v>
      </c>
      <c r="B759" s="3">
        <v>46538</v>
      </c>
      <c r="C759" s="1">
        <v>100</v>
      </c>
      <c r="D759" s="1">
        <v>3.099315</v>
      </c>
      <c r="E759" s="1">
        <v>0</v>
      </c>
      <c r="F759" s="1">
        <v>3.099315</v>
      </c>
    </row>
    <row r="760" spans="1:6">
      <c r="A760" s="1" t="s">
        <v>399</v>
      </c>
      <c r="B760" s="3">
        <v>46720</v>
      </c>
      <c r="C760" s="1">
        <v>100</v>
      </c>
      <c r="D760" s="1">
        <v>3.150685</v>
      </c>
      <c r="E760" s="1">
        <v>0</v>
      </c>
      <c r="F760" s="1">
        <v>3.150685</v>
      </c>
    </row>
    <row r="761" spans="1:6">
      <c r="A761" s="1" t="s">
        <v>399</v>
      </c>
      <c r="B761" s="3">
        <v>46902</v>
      </c>
      <c r="C761" s="1">
        <v>100</v>
      </c>
      <c r="D761" s="1">
        <v>3.116438</v>
      </c>
      <c r="E761" s="1">
        <v>0</v>
      </c>
      <c r="F761" s="1">
        <v>3.116438</v>
      </c>
    </row>
    <row r="762" spans="1:6">
      <c r="A762" s="1" t="s">
        <v>399</v>
      </c>
      <c r="B762" s="3">
        <v>47086</v>
      </c>
      <c r="C762" s="1">
        <v>100</v>
      </c>
      <c r="D762" s="1">
        <v>3.150685</v>
      </c>
      <c r="E762" s="1">
        <v>0</v>
      </c>
      <c r="F762" s="1">
        <v>3.150685</v>
      </c>
    </row>
    <row r="763" spans="1:6">
      <c r="A763" s="1" t="s">
        <v>399</v>
      </c>
      <c r="B763" s="3">
        <v>47267</v>
      </c>
      <c r="C763" s="1">
        <v>100</v>
      </c>
      <c r="D763" s="1">
        <v>3.099315</v>
      </c>
      <c r="E763" s="1">
        <v>0</v>
      </c>
      <c r="F763" s="1">
        <v>3.099315</v>
      </c>
    </row>
    <row r="764" spans="1:6">
      <c r="A764" s="1" t="s">
        <v>399</v>
      </c>
      <c r="B764" s="3">
        <v>47451</v>
      </c>
      <c r="C764" s="1">
        <v>100</v>
      </c>
      <c r="D764" s="1">
        <v>3.150685</v>
      </c>
      <c r="E764" s="1">
        <v>0</v>
      </c>
      <c r="F764" s="1">
        <v>3.150685</v>
      </c>
    </row>
    <row r="765" spans="1:6">
      <c r="A765" s="1" t="s">
        <v>399</v>
      </c>
      <c r="B765" s="3">
        <v>47632</v>
      </c>
      <c r="C765" s="1">
        <v>0</v>
      </c>
      <c r="D765" s="1">
        <v>3.099315</v>
      </c>
      <c r="E765" s="1">
        <v>100</v>
      </c>
      <c r="F765" s="1">
        <v>103.099315</v>
      </c>
    </row>
    <row r="766" spans="1:6">
      <c r="A766" s="1" t="s">
        <v>400</v>
      </c>
      <c r="B766" s="3">
        <v>46419</v>
      </c>
      <c r="C766" s="1">
        <v>100</v>
      </c>
      <c r="D766" s="1">
        <v>3.578767</v>
      </c>
      <c r="E766" s="1">
        <v>0</v>
      </c>
      <c r="F766" s="1">
        <v>3.578767</v>
      </c>
    </row>
    <row r="767" spans="1:6">
      <c r="A767" s="1" t="s">
        <v>400</v>
      </c>
      <c r="B767" s="3">
        <v>46507</v>
      </c>
      <c r="C767" s="1">
        <v>100</v>
      </c>
      <c r="D767" s="1">
        <v>1.171233</v>
      </c>
      <c r="E767" s="1">
        <v>0</v>
      </c>
      <c r="F767" s="1">
        <v>1.171233</v>
      </c>
    </row>
    <row r="768" spans="1:6">
      <c r="A768" s="1" t="s">
        <v>400</v>
      </c>
      <c r="B768" s="3">
        <v>46692</v>
      </c>
      <c r="C768" s="1">
        <v>100</v>
      </c>
      <c r="D768" s="1">
        <v>2.381507</v>
      </c>
      <c r="E768" s="1">
        <v>0</v>
      </c>
      <c r="F768" s="1">
        <v>2.381507</v>
      </c>
    </row>
    <row r="769" spans="1:6">
      <c r="A769" s="1" t="s">
        <v>400</v>
      </c>
      <c r="B769" s="3">
        <v>46875</v>
      </c>
      <c r="C769" s="1">
        <v>0</v>
      </c>
      <c r="D769" s="1">
        <v>2.381507</v>
      </c>
      <c r="E769" s="1">
        <v>100</v>
      </c>
      <c r="F769" s="1">
        <v>102.381507</v>
      </c>
    </row>
    <row r="770" spans="1:6">
      <c r="A770" s="1" t="s">
        <v>401</v>
      </c>
      <c r="B770" s="3">
        <v>46034</v>
      </c>
      <c r="C770" s="1">
        <v>100</v>
      </c>
      <c r="D770" s="1">
        <v>4.032877</v>
      </c>
      <c r="E770" s="1">
        <v>0</v>
      </c>
      <c r="F770" s="1">
        <v>4.032877</v>
      </c>
    </row>
    <row r="771" spans="1:6">
      <c r="A771" s="1" t="s">
        <v>401</v>
      </c>
      <c r="B771" s="3">
        <v>46216</v>
      </c>
      <c r="C771" s="1">
        <v>100</v>
      </c>
      <c r="D771" s="1">
        <v>3.967123</v>
      </c>
      <c r="E771" s="1">
        <v>0</v>
      </c>
      <c r="F771" s="1">
        <v>3.967123</v>
      </c>
    </row>
    <row r="772" spans="1:6">
      <c r="A772" s="1" t="s">
        <v>401</v>
      </c>
      <c r="B772" s="3">
        <v>46398</v>
      </c>
      <c r="C772" s="1">
        <v>100</v>
      </c>
      <c r="D772" s="1">
        <v>4.032877</v>
      </c>
      <c r="E772" s="1">
        <v>0</v>
      </c>
      <c r="F772" s="1">
        <v>4.032877</v>
      </c>
    </row>
    <row r="773" spans="1:6">
      <c r="A773" s="1" t="s">
        <v>401</v>
      </c>
      <c r="B773" s="3">
        <v>46580</v>
      </c>
      <c r="C773" s="1">
        <v>100</v>
      </c>
      <c r="D773" s="1">
        <v>3.967123</v>
      </c>
      <c r="E773" s="1">
        <v>0</v>
      </c>
      <c r="F773" s="1">
        <v>3.967123</v>
      </c>
    </row>
    <row r="774" spans="1:6">
      <c r="A774" s="1" t="s">
        <v>401</v>
      </c>
      <c r="B774" s="3">
        <v>46763</v>
      </c>
      <c r="C774" s="1">
        <v>100</v>
      </c>
      <c r="D774" s="1">
        <v>4.032877</v>
      </c>
      <c r="E774" s="1">
        <v>0</v>
      </c>
      <c r="F774" s="1">
        <v>4.032877</v>
      </c>
    </row>
    <row r="775" spans="1:6">
      <c r="A775" s="1" t="s">
        <v>401</v>
      </c>
      <c r="B775" s="3">
        <v>46945</v>
      </c>
      <c r="C775" s="1">
        <v>0</v>
      </c>
      <c r="D775" s="1">
        <v>3.989041</v>
      </c>
      <c r="E775" s="1">
        <v>100</v>
      </c>
      <c r="F775" s="1">
        <v>103.989041</v>
      </c>
    </row>
    <row r="776" spans="1:6">
      <c r="A776" s="1" t="s">
        <v>402</v>
      </c>
      <c r="B776" s="3">
        <v>45792</v>
      </c>
      <c r="C776" s="1">
        <v>100</v>
      </c>
      <c r="D776" s="1">
        <v>3.471233</v>
      </c>
      <c r="E776" s="1">
        <v>0</v>
      </c>
      <c r="F776" s="1">
        <v>3.471233</v>
      </c>
    </row>
    <row r="777" spans="1:6">
      <c r="A777" s="1" t="s">
        <v>402</v>
      </c>
      <c r="B777" s="3">
        <v>45978</v>
      </c>
      <c r="C777" s="1">
        <v>100</v>
      </c>
      <c r="D777" s="1">
        <v>3.528767</v>
      </c>
      <c r="E777" s="1">
        <v>0</v>
      </c>
      <c r="F777" s="1">
        <v>3.528767</v>
      </c>
    </row>
    <row r="778" spans="1:6">
      <c r="A778" s="1" t="s">
        <v>402</v>
      </c>
      <c r="B778" s="3">
        <v>46157</v>
      </c>
      <c r="C778" s="1">
        <v>100</v>
      </c>
      <c r="D778" s="1">
        <v>3.471233</v>
      </c>
      <c r="E778" s="1">
        <v>0</v>
      </c>
      <c r="F778" s="1">
        <v>3.471233</v>
      </c>
    </row>
    <row r="779" spans="1:6">
      <c r="A779" s="1" t="s">
        <v>402</v>
      </c>
      <c r="B779" s="3">
        <v>46342</v>
      </c>
      <c r="C779" s="1">
        <v>100</v>
      </c>
      <c r="D779" s="1">
        <v>3.528767</v>
      </c>
      <c r="E779" s="1">
        <v>0</v>
      </c>
      <c r="F779" s="1">
        <v>3.528767</v>
      </c>
    </row>
    <row r="780" spans="1:6">
      <c r="A780" s="1" t="s">
        <v>402</v>
      </c>
      <c r="B780" s="3">
        <v>46524</v>
      </c>
      <c r="C780" s="1">
        <v>100</v>
      </c>
      <c r="D780" s="1">
        <v>3.471233</v>
      </c>
      <c r="E780" s="1">
        <v>0</v>
      </c>
      <c r="F780" s="1">
        <v>3.471233</v>
      </c>
    </row>
    <row r="781" spans="1:6">
      <c r="A781" s="1" t="s">
        <v>402</v>
      </c>
      <c r="B781" s="3">
        <v>46706</v>
      </c>
      <c r="C781" s="1">
        <v>100</v>
      </c>
      <c r="D781" s="1">
        <v>3.528767</v>
      </c>
      <c r="E781" s="1">
        <v>0</v>
      </c>
      <c r="F781" s="1">
        <v>3.528767</v>
      </c>
    </row>
    <row r="782" spans="1:6">
      <c r="A782" s="1" t="s">
        <v>402</v>
      </c>
      <c r="B782" s="3">
        <v>46888</v>
      </c>
      <c r="C782" s="1">
        <v>100</v>
      </c>
      <c r="D782" s="1">
        <v>3.490411</v>
      </c>
      <c r="E782" s="1">
        <v>0</v>
      </c>
      <c r="F782" s="1">
        <v>3.490411</v>
      </c>
    </row>
    <row r="783" spans="1:6">
      <c r="A783" s="1" t="s">
        <v>402</v>
      </c>
      <c r="B783" s="3">
        <v>47072</v>
      </c>
      <c r="C783" s="1">
        <v>0</v>
      </c>
      <c r="D783" s="1">
        <v>3.528767</v>
      </c>
      <c r="E783" s="1">
        <v>100</v>
      </c>
      <c r="F783" s="1">
        <v>103.528767</v>
      </c>
    </row>
    <row r="784" spans="1:6">
      <c r="A784" s="1" t="s">
        <v>403</v>
      </c>
      <c r="B784" s="3">
        <v>42705</v>
      </c>
      <c r="C784" s="1">
        <v>100</v>
      </c>
      <c r="D784" s="1">
        <v>3.75</v>
      </c>
      <c r="E784" s="1">
        <v>0</v>
      </c>
      <c r="F784" s="1">
        <v>3.75</v>
      </c>
    </row>
    <row r="785" spans="1:6">
      <c r="A785" s="1" t="s">
        <v>403</v>
      </c>
      <c r="B785" s="3">
        <v>42887</v>
      </c>
      <c r="C785" s="1">
        <v>100</v>
      </c>
      <c r="D785" s="1">
        <v>3.75</v>
      </c>
      <c r="E785" s="1">
        <v>0</v>
      </c>
      <c r="F785" s="1">
        <v>3.75</v>
      </c>
    </row>
    <row r="786" spans="1:6">
      <c r="A786" s="1" t="s">
        <v>403</v>
      </c>
      <c r="B786" s="3">
        <v>43070</v>
      </c>
      <c r="C786" s="1">
        <v>100</v>
      </c>
      <c r="D786" s="1">
        <v>3.75</v>
      </c>
      <c r="E786" s="1">
        <v>0</v>
      </c>
      <c r="F786" s="1">
        <v>3.75</v>
      </c>
    </row>
    <row r="787" spans="1:6">
      <c r="A787" s="1" t="s">
        <v>403</v>
      </c>
      <c r="B787" s="3">
        <v>43252</v>
      </c>
      <c r="C787" s="1">
        <v>100</v>
      </c>
      <c r="D787" s="1">
        <v>3.75</v>
      </c>
      <c r="E787" s="1">
        <v>0</v>
      </c>
      <c r="F787" s="1">
        <v>3.75</v>
      </c>
    </row>
    <row r="788" spans="1:6">
      <c r="A788" s="1" t="s">
        <v>403</v>
      </c>
      <c r="B788" s="3">
        <v>43437</v>
      </c>
      <c r="C788" s="1">
        <v>100</v>
      </c>
      <c r="D788" s="1">
        <v>3.75</v>
      </c>
      <c r="E788" s="1">
        <v>0</v>
      </c>
      <c r="F788" s="1">
        <v>3.75</v>
      </c>
    </row>
    <row r="789" spans="1:6">
      <c r="A789" s="1" t="s">
        <v>403</v>
      </c>
      <c r="B789" s="3">
        <v>43619</v>
      </c>
      <c r="C789" s="1">
        <v>100</v>
      </c>
      <c r="D789" s="1">
        <v>3.75</v>
      </c>
      <c r="E789" s="1">
        <v>0</v>
      </c>
      <c r="F789" s="1">
        <v>3.75</v>
      </c>
    </row>
    <row r="790" spans="1:6">
      <c r="A790" s="1" t="s">
        <v>403</v>
      </c>
      <c r="B790" s="3">
        <v>43801</v>
      </c>
      <c r="C790" s="1">
        <v>100</v>
      </c>
      <c r="D790" s="1">
        <v>3.75</v>
      </c>
      <c r="E790" s="1">
        <v>0</v>
      </c>
      <c r="F790" s="1">
        <v>3.75</v>
      </c>
    </row>
    <row r="791" spans="1:6">
      <c r="A791" s="1" t="s">
        <v>403</v>
      </c>
      <c r="B791" s="3">
        <v>43983</v>
      </c>
      <c r="C791" s="1">
        <v>100</v>
      </c>
      <c r="D791" s="1">
        <v>3.75</v>
      </c>
      <c r="E791" s="1">
        <v>0</v>
      </c>
      <c r="F791" s="1">
        <v>3.75</v>
      </c>
    </row>
    <row r="792" spans="1:6">
      <c r="A792" s="1" t="s">
        <v>403</v>
      </c>
      <c r="B792" s="3">
        <v>44166</v>
      </c>
      <c r="C792" s="1">
        <v>100</v>
      </c>
      <c r="D792" s="1">
        <v>3.75</v>
      </c>
      <c r="E792" s="1">
        <v>0</v>
      </c>
      <c r="F792" s="1">
        <v>3.75</v>
      </c>
    </row>
    <row r="793" spans="1:6">
      <c r="A793" s="1" t="s">
        <v>403</v>
      </c>
      <c r="B793" s="3">
        <v>44348</v>
      </c>
      <c r="C793" s="1">
        <v>100</v>
      </c>
      <c r="D793" s="1">
        <v>3.75</v>
      </c>
      <c r="E793" s="1">
        <v>0</v>
      </c>
      <c r="F793" s="1">
        <v>3.75</v>
      </c>
    </row>
    <row r="794" spans="1:6">
      <c r="A794" s="1" t="s">
        <v>403</v>
      </c>
      <c r="B794" s="3">
        <v>44531</v>
      </c>
      <c r="C794" s="1">
        <v>100</v>
      </c>
      <c r="D794" s="1">
        <v>3.75</v>
      </c>
      <c r="E794" s="1">
        <v>0</v>
      </c>
      <c r="F794" s="1">
        <v>3.75</v>
      </c>
    </row>
    <row r="795" spans="1:6">
      <c r="A795" s="1" t="s">
        <v>403</v>
      </c>
      <c r="B795" s="3">
        <v>44713</v>
      </c>
      <c r="C795" s="1">
        <v>100</v>
      </c>
      <c r="D795" s="1">
        <v>3.75</v>
      </c>
      <c r="E795" s="1">
        <v>0</v>
      </c>
      <c r="F795" s="1">
        <v>3.75</v>
      </c>
    </row>
    <row r="796" spans="1:6">
      <c r="A796" s="1" t="s">
        <v>403</v>
      </c>
      <c r="B796" s="3">
        <v>44896</v>
      </c>
      <c r="C796" s="1">
        <v>100</v>
      </c>
      <c r="D796" s="1">
        <v>3.75</v>
      </c>
      <c r="E796" s="1">
        <v>0</v>
      </c>
      <c r="F796" s="1">
        <v>3.75</v>
      </c>
    </row>
    <row r="797" spans="1:6">
      <c r="A797" s="1" t="s">
        <v>403</v>
      </c>
      <c r="B797" s="3">
        <v>45078</v>
      </c>
      <c r="C797" s="1">
        <v>100</v>
      </c>
      <c r="D797" s="1">
        <v>3.75</v>
      </c>
      <c r="E797" s="1">
        <v>0</v>
      </c>
      <c r="F797" s="1">
        <v>3.75</v>
      </c>
    </row>
    <row r="798" spans="1:6">
      <c r="A798" s="1" t="s">
        <v>403</v>
      </c>
      <c r="B798" s="3">
        <v>45261</v>
      </c>
      <c r="C798" s="1">
        <v>100</v>
      </c>
      <c r="D798" s="1">
        <v>3.75</v>
      </c>
      <c r="E798" s="1">
        <v>0</v>
      </c>
      <c r="F798" s="1">
        <v>3.75</v>
      </c>
    </row>
    <row r="799" spans="1:6">
      <c r="A799" s="1" t="s">
        <v>403</v>
      </c>
      <c r="B799" s="3">
        <v>45446</v>
      </c>
      <c r="C799" s="1">
        <v>100</v>
      </c>
      <c r="D799" s="1">
        <v>3.75</v>
      </c>
      <c r="E799" s="1">
        <v>0</v>
      </c>
      <c r="F799" s="1">
        <v>3.75</v>
      </c>
    </row>
    <row r="800" spans="1:6">
      <c r="A800" s="1" t="s">
        <v>403</v>
      </c>
      <c r="B800" s="3">
        <v>45628</v>
      </c>
      <c r="C800" s="1">
        <v>100</v>
      </c>
      <c r="D800" s="1">
        <v>3.75</v>
      </c>
      <c r="E800" s="1">
        <v>0</v>
      </c>
      <c r="F800" s="1">
        <v>3.75</v>
      </c>
    </row>
    <row r="801" spans="1:6">
      <c r="A801" s="1" t="s">
        <v>403</v>
      </c>
      <c r="B801" s="3">
        <v>45810</v>
      </c>
      <c r="C801" s="1">
        <v>66.67</v>
      </c>
      <c r="D801" s="1">
        <v>3.75</v>
      </c>
      <c r="E801" s="1">
        <v>33.33</v>
      </c>
      <c r="F801" s="1">
        <v>37.08</v>
      </c>
    </row>
    <row r="802" spans="1:6">
      <c r="A802" s="1" t="s">
        <v>403</v>
      </c>
      <c r="B802" s="3">
        <v>45992</v>
      </c>
      <c r="C802" s="1">
        <v>66.67</v>
      </c>
      <c r="D802" s="1">
        <v>2.500125</v>
      </c>
      <c r="E802" s="1">
        <v>0</v>
      </c>
      <c r="F802" s="1">
        <v>2.500125</v>
      </c>
    </row>
    <row r="803" spans="1:6">
      <c r="A803" s="1" t="s">
        <v>403</v>
      </c>
      <c r="B803" s="3">
        <v>46174</v>
      </c>
      <c r="C803" s="1">
        <v>33.34</v>
      </c>
      <c r="D803" s="1">
        <v>2.500125</v>
      </c>
      <c r="E803" s="1">
        <v>33.33</v>
      </c>
      <c r="F803" s="1">
        <v>35.830125</v>
      </c>
    </row>
    <row r="804" spans="1:6">
      <c r="A804" s="1" t="s">
        <v>403</v>
      </c>
      <c r="B804" s="3">
        <v>46357</v>
      </c>
      <c r="C804" s="1">
        <v>33.34</v>
      </c>
      <c r="D804" s="1">
        <v>1.25025</v>
      </c>
      <c r="E804" s="1">
        <v>0</v>
      </c>
      <c r="F804" s="1">
        <v>1.25025</v>
      </c>
    </row>
    <row r="805" spans="1:6">
      <c r="A805" s="1" t="s">
        <v>403</v>
      </c>
      <c r="B805" s="3">
        <v>46539</v>
      </c>
      <c r="C805" s="1">
        <v>0</v>
      </c>
      <c r="D805" s="1">
        <v>1.25025</v>
      </c>
      <c r="E805" s="1">
        <v>33.34</v>
      </c>
      <c r="F805" s="1">
        <v>34.59025</v>
      </c>
    </row>
    <row r="806" spans="1:6">
      <c r="A806" s="1" t="s">
        <v>404</v>
      </c>
      <c r="B806" s="3">
        <v>42979</v>
      </c>
      <c r="C806" s="1">
        <v>100</v>
      </c>
      <c r="D806" s="1">
        <v>3.725</v>
      </c>
      <c r="E806" s="1">
        <v>0</v>
      </c>
      <c r="F806" s="1">
        <v>3.725</v>
      </c>
    </row>
    <row r="807" spans="1:6">
      <c r="A807" s="1" t="s">
        <v>404</v>
      </c>
      <c r="B807" s="3">
        <v>43160</v>
      </c>
      <c r="C807" s="1">
        <v>100</v>
      </c>
      <c r="D807" s="1">
        <v>3.725</v>
      </c>
      <c r="E807" s="1">
        <v>0</v>
      </c>
      <c r="F807" s="1">
        <v>3.725</v>
      </c>
    </row>
    <row r="808" spans="1:6">
      <c r="A808" s="1" t="s">
        <v>404</v>
      </c>
      <c r="B808" s="3">
        <v>43346</v>
      </c>
      <c r="C808" s="1">
        <v>100</v>
      </c>
      <c r="D808" s="1">
        <v>3.725</v>
      </c>
      <c r="E808" s="1">
        <v>0</v>
      </c>
      <c r="F808" s="1">
        <v>3.725</v>
      </c>
    </row>
    <row r="809" spans="1:6">
      <c r="A809" s="1" t="s">
        <v>404</v>
      </c>
      <c r="B809" s="3">
        <v>43525</v>
      </c>
      <c r="C809" s="1">
        <v>100</v>
      </c>
      <c r="D809" s="1">
        <v>3.725</v>
      </c>
      <c r="E809" s="1">
        <v>0</v>
      </c>
      <c r="F809" s="1">
        <v>3.725</v>
      </c>
    </row>
    <row r="810" spans="1:6">
      <c r="A810" s="1" t="s">
        <v>404</v>
      </c>
      <c r="B810" s="3">
        <v>43710</v>
      </c>
      <c r="C810" s="1">
        <v>100</v>
      </c>
      <c r="D810" s="1">
        <v>3.725</v>
      </c>
      <c r="E810" s="1">
        <v>0</v>
      </c>
      <c r="F810" s="1">
        <v>3.725</v>
      </c>
    </row>
    <row r="811" spans="1:6">
      <c r="A811" s="1" t="s">
        <v>404</v>
      </c>
      <c r="B811" s="3">
        <v>43892</v>
      </c>
      <c r="C811" s="1">
        <v>100</v>
      </c>
      <c r="D811" s="1">
        <v>3.725</v>
      </c>
      <c r="E811" s="1">
        <v>0</v>
      </c>
      <c r="F811" s="1">
        <v>3.725</v>
      </c>
    </row>
    <row r="812" spans="1:6">
      <c r="A812" s="1" t="s">
        <v>404</v>
      </c>
      <c r="B812" s="3">
        <v>44222</v>
      </c>
      <c r="C812" s="1">
        <v>100</v>
      </c>
      <c r="D812" s="1">
        <v>0</v>
      </c>
      <c r="E812" s="1">
        <v>0</v>
      </c>
      <c r="F812" s="1">
        <v>0</v>
      </c>
    </row>
    <row r="813" spans="1:6">
      <c r="A813" s="1" t="s">
        <v>404</v>
      </c>
      <c r="B813" s="3">
        <v>44348</v>
      </c>
      <c r="C813" s="1">
        <v>100</v>
      </c>
      <c r="D813" s="1">
        <v>1.041667</v>
      </c>
      <c r="E813" s="1">
        <v>0</v>
      </c>
      <c r="F813" s="1">
        <v>1.041667</v>
      </c>
    </row>
    <row r="814" spans="1:6">
      <c r="A814" s="1" t="s">
        <v>404</v>
      </c>
      <c r="B814" s="3">
        <v>44531</v>
      </c>
      <c r="C814" s="1">
        <v>100</v>
      </c>
      <c r="D814" s="1">
        <v>2.5</v>
      </c>
      <c r="E814" s="1">
        <v>0</v>
      </c>
      <c r="F814" s="1">
        <v>2.5</v>
      </c>
    </row>
    <row r="815" spans="1:6">
      <c r="A815" s="1" t="s">
        <v>404</v>
      </c>
      <c r="B815" s="3">
        <v>44713</v>
      </c>
      <c r="C815" s="1">
        <v>100</v>
      </c>
      <c r="D815" s="1">
        <v>2.5</v>
      </c>
      <c r="E815" s="1">
        <v>0</v>
      </c>
      <c r="F815" s="1">
        <v>2.5</v>
      </c>
    </row>
    <row r="816" spans="1:6">
      <c r="A816" s="1" t="s">
        <v>404</v>
      </c>
      <c r="B816" s="3">
        <v>44896</v>
      </c>
      <c r="C816" s="1">
        <v>100</v>
      </c>
      <c r="D816" s="1">
        <v>3.495</v>
      </c>
      <c r="E816" s="1">
        <v>0</v>
      </c>
      <c r="F816" s="1">
        <v>3.495</v>
      </c>
    </row>
    <row r="817" spans="1:6">
      <c r="A817" s="1" t="s">
        <v>404</v>
      </c>
      <c r="B817" s="3">
        <v>45078</v>
      </c>
      <c r="C817" s="1">
        <v>100</v>
      </c>
      <c r="D817" s="1">
        <v>3.495</v>
      </c>
      <c r="E817" s="1">
        <v>0</v>
      </c>
      <c r="F817" s="1">
        <v>3.495</v>
      </c>
    </row>
    <row r="818" spans="1:6">
      <c r="A818" s="1" t="s">
        <v>404</v>
      </c>
      <c r="B818" s="3">
        <v>45261</v>
      </c>
      <c r="C818" s="1">
        <v>100</v>
      </c>
      <c r="D818" s="1">
        <v>3.495</v>
      </c>
      <c r="E818" s="1">
        <v>0</v>
      </c>
      <c r="F818" s="1">
        <v>3.495</v>
      </c>
    </row>
    <row r="819" spans="1:6">
      <c r="A819" s="1" t="s">
        <v>404</v>
      </c>
      <c r="B819" s="3">
        <v>45446</v>
      </c>
      <c r="C819" s="1">
        <v>100</v>
      </c>
      <c r="D819" s="1">
        <v>3.495</v>
      </c>
      <c r="E819" s="1">
        <v>0</v>
      </c>
      <c r="F819" s="1">
        <v>3.495</v>
      </c>
    </row>
    <row r="820" spans="1:6">
      <c r="A820" s="1" t="s">
        <v>404</v>
      </c>
      <c r="B820" s="3">
        <v>45628</v>
      </c>
      <c r="C820" s="1">
        <v>100</v>
      </c>
      <c r="D820" s="1">
        <v>3.495</v>
      </c>
      <c r="E820" s="1">
        <v>0</v>
      </c>
      <c r="F820" s="1">
        <v>3.495</v>
      </c>
    </row>
    <row r="821" spans="1:6">
      <c r="A821" s="1" t="s">
        <v>404</v>
      </c>
      <c r="B821" s="3">
        <v>45810</v>
      </c>
      <c r="C821" s="1">
        <v>100</v>
      </c>
      <c r="D821" s="1">
        <v>3.495</v>
      </c>
      <c r="E821" s="1">
        <v>0</v>
      </c>
      <c r="F821" s="1">
        <v>3.495</v>
      </c>
    </row>
    <row r="822" spans="1:6">
      <c r="A822" s="1" t="s">
        <v>404</v>
      </c>
      <c r="B822" s="3">
        <v>45992</v>
      </c>
      <c r="C822" s="1">
        <v>75</v>
      </c>
      <c r="D822" s="1">
        <v>3.495</v>
      </c>
      <c r="E822" s="1">
        <v>25</v>
      </c>
      <c r="F822" s="1">
        <v>28.495</v>
      </c>
    </row>
    <row r="823" spans="1:6">
      <c r="A823" s="1" t="s">
        <v>404</v>
      </c>
      <c r="B823" s="3">
        <v>46174</v>
      </c>
      <c r="C823" s="1">
        <v>50</v>
      </c>
      <c r="D823" s="1">
        <v>2.62125</v>
      </c>
      <c r="E823" s="1">
        <v>25</v>
      </c>
      <c r="F823" s="1">
        <v>27.62125</v>
      </c>
    </row>
    <row r="824" spans="1:6">
      <c r="A824" s="1" t="s">
        <v>404</v>
      </c>
      <c r="B824" s="3">
        <v>46357</v>
      </c>
      <c r="C824" s="1">
        <v>25</v>
      </c>
      <c r="D824" s="1">
        <v>1.7475</v>
      </c>
      <c r="E824" s="1">
        <v>25</v>
      </c>
      <c r="F824" s="1">
        <v>26.7475</v>
      </c>
    </row>
    <row r="825" spans="1:6">
      <c r="A825" s="1" t="s">
        <v>404</v>
      </c>
      <c r="B825" s="3">
        <v>46539</v>
      </c>
      <c r="C825" s="1">
        <v>0</v>
      </c>
      <c r="D825" s="1">
        <v>0.87375</v>
      </c>
      <c r="E825" s="1">
        <v>25</v>
      </c>
      <c r="F825" s="1">
        <v>25.87375</v>
      </c>
    </row>
    <row r="826" spans="1:6">
      <c r="A826" s="1" t="s">
        <v>405</v>
      </c>
      <c r="B826" s="3">
        <v>44284</v>
      </c>
      <c r="C826" s="1">
        <v>100</v>
      </c>
      <c r="D826" s="1">
        <v>0.773264</v>
      </c>
      <c r="E826" s="1">
        <v>0</v>
      </c>
      <c r="F826" s="1">
        <v>0.773264</v>
      </c>
    </row>
    <row r="827" spans="1:6">
      <c r="A827" s="1" t="s">
        <v>405</v>
      </c>
      <c r="B827" s="3">
        <v>44468</v>
      </c>
      <c r="C827" s="1">
        <v>100</v>
      </c>
      <c r="D827" s="1">
        <v>1.0625</v>
      </c>
      <c r="E827" s="1">
        <v>0</v>
      </c>
      <c r="F827" s="1">
        <v>1.0625</v>
      </c>
    </row>
    <row r="828" spans="1:6">
      <c r="A828" s="1" t="s">
        <v>405</v>
      </c>
      <c r="B828" s="3">
        <v>44649</v>
      </c>
      <c r="C828" s="1">
        <v>100</v>
      </c>
      <c r="D828" s="1">
        <v>2.25</v>
      </c>
      <c r="E828" s="1">
        <v>0</v>
      </c>
      <c r="F828" s="1">
        <v>2.25</v>
      </c>
    </row>
    <row r="829" spans="1:6">
      <c r="A829" s="1" t="s">
        <v>405</v>
      </c>
      <c r="B829" s="3">
        <v>44833</v>
      </c>
      <c r="C829" s="1">
        <v>100</v>
      </c>
      <c r="D829" s="1">
        <v>2.25</v>
      </c>
      <c r="E829" s="1">
        <v>0</v>
      </c>
      <c r="F829" s="1">
        <v>2.25</v>
      </c>
    </row>
    <row r="830" spans="1:6">
      <c r="A830" s="1" t="s">
        <v>405</v>
      </c>
      <c r="B830" s="3">
        <v>45014</v>
      </c>
      <c r="C830" s="1">
        <v>100</v>
      </c>
      <c r="D830" s="1">
        <v>3.125</v>
      </c>
      <c r="E830" s="1">
        <v>0</v>
      </c>
      <c r="F830" s="1">
        <v>3.125</v>
      </c>
    </row>
    <row r="831" spans="1:6">
      <c r="A831" s="1" t="s">
        <v>405</v>
      </c>
      <c r="B831" s="3">
        <v>45198</v>
      </c>
      <c r="C831" s="1">
        <v>100</v>
      </c>
      <c r="D831" s="1">
        <v>3.125</v>
      </c>
      <c r="E831" s="1">
        <v>0</v>
      </c>
      <c r="F831" s="1">
        <v>3.125</v>
      </c>
    </row>
    <row r="832" spans="1:6">
      <c r="A832" s="1" t="s">
        <v>405</v>
      </c>
      <c r="B832" s="3">
        <v>45385</v>
      </c>
      <c r="C832" s="1">
        <v>87.5</v>
      </c>
      <c r="D832" s="1">
        <v>3.5</v>
      </c>
      <c r="E832" s="1">
        <v>12.5</v>
      </c>
      <c r="F832" s="1">
        <v>16</v>
      </c>
    </row>
    <row r="833" spans="1:6">
      <c r="A833" s="1" t="s">
        <v>405</v>
      </c>
      <c r="B833" s="3">
        <v>45565</v>
      </c>
      <c r="C833" s="1">
        <v>75</v>
      </c>
      <c r="D833" s="1">
        <v>3.0625</v>
      </c>
      <c r="E833" s="1">
        <v>12.5</v>
      </c>
      <c r="F833" s="1">
        <v>15.5625</v>
      </c>
    </row>
    <row r="834" spans="1:6">
      <c r="A834" s="1" t="s">
        <v>405</v>
      </c>
      <c r="B834" s="3">
        <v>45747</v>
      </c>
      <c r="C834" s="1">
        <v>62.5</v>
      </c>
      <c r="D834" s="1">
        <v>2.625</v>
      </c>
      <c r="E834" s="1">
        <v>12.5</v>
      </c>
      <c r="F834" s="1">
        <v>15.125</v>
      </c>
    </row>
    <row r="835" spans="1:6">
      <c r="A835" s="1" t="s">
        <v>405</v>
      </c>
      <c r="B835" s="3">
        <v>45929</v>
      </c>
      <c r="C835" s="1">
        <v>50</v>
      </c>
      <c r="D835" s="1">
        <v>2.1875</v>
      </c>
      <c r="E835" s="1">
        <v>12.5</v>
      </c>
      <c r="F835" s="1">
        <v>14.6875</v>
      </c>
    </row>
    <row r="836" spans="1:6">
      <c r="A836" s="1" t="s">
        <v>405</v>
      </c>
      <c r="B836" s="3">
        <v>46111</v>
      </c>
      <c r="C836" s="1">
        <v>37.5</v>
      </c>
      <c r="D836" s="1">
        <v>1.75</v>
      </c>
      <c r="E836" s="1">
        <v>12.5</v>
      </c>
      <c r="F836" s="1">
        <v>14.25</v>
      </c>
    </row>
    <row r="837" spans="1:6">
      <c r="A837" s="1" t="s">
        <v>405</v>
      </c>
      <c r="B837" s="3">
        <v>46294</v>
      </c>
      <c r="C837" s="1">
        <v>25</v>
      </c>
      <c r="D837" s="1">
        <v>1.3125</v>
      </c>
      <c r="E837" s="1">
        <v>12.5</v>
      </c>
      <c r="F837" s="1">
        <v>13.8125</v>
      </c>
    </row>
    <row r="838" spans="1:6">
      <c r="A838" s="1" t="s">
        <v>405</v>
      </c>
      <c r="B838" s="3">
        <v>46475</v>
      </c>
      <c r="C838" s="1">
        <v>12.5</v>
      </c>
      <c r="D838" s="1">
        <v>0.875</v>
      </c>
      <c r="E838" s="1">
        <v>12.5</v>
      </c>
      <c r="F838" s="1">
        <v>13.375</v>
      </c>
    </row>
    <row r="839" spans="1:6">
      <c r="A839" s="1" t="s">
        <v>405</v>
      </c>
      <c r="B839" s="3">
        <v>46659</v>
      </c>
      <c r="C839" s="1">
        <v>0</v>
      </c>
      <c r="D839" s="1">
        <v>0.4375</v>
      </c>
      <c r="E839" s="1">
        <v>12.5</v>
      </c>
      <c r="F839" s="1">
        <v>12.9375</v>
      </c>
    </row>
    <row r="840" spans="1:6">
      <c r="A840" s="1" t="s">
        <v>406</v>
      </c>
      <c r="B840" s="3">
        <v>42857</v>
      </c>
      <c r="C840" s="1">
        <v>100</v>
      </c>
      <c r="D840" s="1">
        <v>3.45</v>
      </c>
      <c r="E840" s="1">
        <v>0</v>
      </c>
      <c r="F840" s="1">
        <v>3.45</v>
      </c>
    </row>
    <row r="841" spans="1:6">
      <c r="A841" s="1" t="s">
        <v>406</v>
      </c>
      <c r="B841" s="3">
        <v>43040</v>
      </c>
      <c r="C841" s="1">
        <v>100</v>
      </c>
      <c r="D841" s="1">
        <v>3.45</v>
      </c>
      <c r="E841" s="1">
        <v>0</v>
      </c>
      <c r="F841" s="1">
        <v>3.45</v>
      </c>
    </row>
    <row r="842" spans="1:6">
      <c r="A842" s="1" t="s">
        <v>406</v>
      </c>
      <c r="B842" s="3">
        <v>43222</v>
      </c>
      <c r="C842" s="1">
        <v>100</v>
      </c>
      <c r="D842" s="1">
        <v>3.45</v>
      </c>
      <c r="E842" s="1">
        <v>0</v>
      </c>
      <c r="F842" s="1">
        <v>3.45</v>
      </c>
    </row>
    <row r="843" spans="1:6">
      <c r="A843" s="1" t="s">
        <v>406</v>
      </c>
      <c r="B843" s="3">
        <v>43405</v>
      </c>
      <c r="C843" s="1">
        <v>100</v>
      </c>
      <c r="D843" s="1">
        <v>3.45</v>
      </c>
      <c r="E843" s="1">
        <v>0</v>
      </c>
      <c r="F843" s="1">
        <v>3.45</v>
      </c>
    </row>
    <row r="844" spans="1:6">
      <c r="A844" s="1" t="s">
        <v>406</v>
      </c>
      <c r="B844" s="3">
        <v>43587</v>
      </c>
      <c r="C844" s="1">
        <v>100</v>
      </c>
      <c r="D844" s="1">
        <v>3.45</v>
      </c>
      <c r="E844" s="1">
        <v>0</v>
      </c>
      <c r="F844" s="1">
        <v>3.45</v>
      </c>
    </row>
    <row r="845" spans="1:6">
      <c r="A845" s="1" t="s">
        <v>406</v>
      </c>
      <c r="B845" s="3">
        <v>43770</v>
      </c>
      <c r="C845" s="1">
        <v>100</v>
      </c>
      <c r="D845" s="1">
        <v>3.45</v>
      </c>
      <c r="E845" s="1">
        <v>0</v>
      </c>
      <c r="F845" s="1">
        <v>3.45</v>
      </c>
    </row>
    <row r="846" spans="1:6">
      <c r="A846" s="1" t="s">
        <v>406</v>
      </c>
      <c r="B846" s="3">
        <v>43955</v>
      </c>
      <c r="C846" s="1">
        <v>100</v>
      </c>
      <c r="D846" s="1">
        <v>3.45</v>
      </c>
      <c r="E846" s="1">
        <v>0</v>
      </c>
      <c r="F846" s="1">
        <v>3.45</v>
      </c>
    </row>
    <row r="847" spans="1:6">
      <c r="A847" s="1" t="s">
        <v>406</v>
      </c>
      <c r="B847" s="3">
        <v>44137</v>
      </c>
      <c r="C847" s="1">
        <v>100</v>
      </c>
      <c r="D847" s="1">
        <v>3.45</v>
      </c>
      <c r="E847" s="1">
        <v>0</v>
      </c>
      <c r="F847" s="1">
        <v>3.45</v>
      </c>
    </row>
    <row r="848" spans="1:6">
      <c r="A848" s="1" t="s">
        <v>406</v>
      </c>
      <c r="B848" s="3">
        <v>44319</v>
      </c>
      <c r="C848" s="1">
        <v>100</v>
      </c>
      <c r="D848" s="1">
        <v>3.45</v>
      </c>
      <c r="E848" s="1">
        <v>0</v>
      </c>
      <c r="F848" s="1">
        <v>3.45</v>
      </c>
    </row>
    <row r="849" spans="1:6">
      <c r="A849" s="1" t="s">
        <v>406</v>
      </c>
      <c r="B849" s="3">
        <v>44501</v>
      </c>
      <c r="C849" s="1">
        <v>100</v>
      </c>
      <c r="D849" s="1">
        <v>3.45</v>
      </c>
      <c r="E849" s="1">
        <v>0</v>
      </c>
      <c r="F849" s="1">
        <v>3.45</v>
      </c>
    </row>
    <row r="850" spans="1:6">
      <c r="A850" s="1" t="s">
        <v>406</v>
      </c>
      <c r="B850" s="3">
        <v>44683</v>
      </c>
      <c r="C850" s="1">
        <v>100</v>
      </c>
      <c r="D850" s="1">
        <v>3.45</v>
      </c>
      <c r="E850" s="1">
        <v>0</v>
      </c>
      <c r="F850" s="1">
        <v>3.45</v>
      </c>
    </row>
    <row r="851" spans="1:6">
      <c r="A851" s="1" t="s">
        <v>406</v>
      </c>
      <c r="B851" s="3">
        <v>44866</v>
      </c>
      <c r="C851" s="1">
        <v>100</v>
      </c>
      <c r="D851" s="1">
        <v>3.45</v>
      </c>
      <c r="E851" s="1">
        <v>0</v>
      </c>
      <c r="F851" s="1">
        <v>3.45</v>
      </c>
    </row>
    <row r="852" spans="1:6">
      <c r="A852" s="1" t="s">
        <v>406</v>
      </c>
      <c r="B852" s="3">
        <v>45048</v>
      </c>
      <c r="C852" s="1">
        <v>100</v>
      </c>
      <c r="D852" s="1">
        <v>3.45</v>
      </c>
      <c r="E852" s="1">
        <v>0</v>
      </c>
      <c r="F852" s="1">
        <v>3.45</v>
      </c>
    </row>
    <row r="853" spans="1:6">
      <c r="A853" s="1" t="s">
        <v>406</v>
      </c>
      <c r="B853" s="3">
        <v>45231</v>
      </c>
      <c r="C853" s="1">
        <v>100</v>
      </c>
      <c r="D853" s="1">
        <v>3.45</v>
      </c>
      <c r="E853" s="1">
        <v>0</v>
      </c>
      <c r="F853" s="1">
        <v>3.45</v>
      </c>
    </row>
    <row r="854" spans="1:6">
      <c r="A854" s="1" t="s">
        <v>406</v>
      </c>
      <c r="B854" s="3">
        <v>45414</v>
      </c>
      <c r="C854" s="1">
        <v>100</v>
      </c>
      <c r="D854" s="1">
        <v>3.45</v>
      </c>
      <c r="E854" s="1">
        <v>0</v>
      </c>
      <c r="F854" s="1">
        <v>3.45</v>
      </c>
    </row>
    <row r="855" spans="1:6">
      <c r="A855" s="1" t="s">
        <v>406</v>
      </c>
      <c r="B855" s="3">
        <v>45597</v>
      </c>
      <c r="C855" s="1">
        <v>100</v>
      </c>
      <c r="D855" s="1">
        <v>3.45</v>
      </c>
      <c r="E855" s="1">
        <v>0</v>
      </c>
      <c r="F855" s="1">
        <v>3.45</v>
      </c>
    </row>
    <row r="856" spans="1:6">
      <c r="A856" s="1" t="s">
        <v>406</v>
      </c>
      <c r="B856" s="3">
        <v>45782</v>
      </c>
      <c r="C856" s="1">
        <v>100</v>
      </c>
      <c r="D856" s="1">
        <v>3.45</v>
      </c>
      <c r="E856" s="1">
        <v>0</v>
      </c>
      <c r="F856" s="1">
        <v>3.45</v>
      </c>
    </row>
    <row r="857" spans="1:6">
      <c r="A857" s="1" t="s">
        <v>406</v>
      </c>
      <c r="B857" s="3">
        <v>45964</v>
      </c>
      <c r="C857" s="1">
        <v>66.67</v>
      </c>
      <c r="D857" s="1">
        <v>3.45</v>
      </c>
      <c r="E857" s="1">
        <v>33.33</v>
      </c>
      <c r="F857" s="1">
        <v>36.78</v>
      </c>
    </row>
    <row r="858" spans="1:6">
      <c r="A858" s="1" t="s">
        <v>406</v>
      </c>
      <c r="B858" s="3">
        <v>46146</v>
      </c>
      <c r="C858" s="1">
        <v>66.67</v>
      </c>
      <c r="D858" s="1">
        <v>2.300115</v>
      </c>
      <c r="E858" s="1">
        <v>0</v>
      </c>
      <c r="F858" s="1">
        <v>2.300115</v>
      </c>
    </row>
    <row r="859" spans="1:6">
      <c r="A859" s="1" t="s">
        <v>406</v>
      </c>
      <c r="B859" s="3">
        <v>46328</v>
      </c>
      <c r="C859" s="1">
        <v>33.34</v>
      </c>
      <c r="D859" s="1">
        <v>2.300115</v>
      </c>
      <c r="E859" s="1">
        <v>33.33</v>
      </c>
      <c r="F859" s="1">
        <v>35.630115</v>
      </c>
    </row>
    <row r="860" spans="1:6">
      <c r="A860" s="1" t="s">
        <v>406</v>
      </c>
      <c r="B860" s="3">
        <v>46510</v>
      </c>
      <c r="C860" s="1">
        <v>33.34</v>
      </c>
      <c r="D860" s="1">
        <v>1.15023</v>
      </c>
      <c r="E860" s="1">
        <v>0</v>
      </c>
      <c r="F860" s="1">
        <v>1.15023</v>
      </c>
    </row>
    <row r="861" spans="1:6">
      <c r="A861" s="1" t="s">
        <v>406</v>
      </c>
      <c r="B861" s="3">
        <v>46692</v>
      </c>
      <c r="C861" s="1">
        <v>0</v>
      </c>
      <c r="D861" s="1">
        <v>1.15023</v>
      </c>
      <c r="E861" s="1">
        <v>33.34</v>
      </c>
      <c r="F861" s="1">
        <v>34.49023</v>
      </c>
    </row>
    <row r="862" spans="1:6">
      <c r="A862" s="1" t="s">
        <v>407</v>
      </c>
      <c r="B862" s="3">
        <v>42744</v>
      </c>
      <c r="C862" s="1">
        <v>100</v>
      </c>
      <c r="D862" s="1">
        <v>4.5625</v>
      </c>
      <c r="E862" s="1">
        <v>0</v>
      </c>
      <c r="F862" s="1">
        <v>4.5625</v>
      </c>
    </row>
    <row r="863" spans="1:6">
      <c r="A863" s="1" t="s">
        <v>407</v>
      </c>
      <c r="B863" s="3">
        <v>42923</v>
      </c>
      <c r="C863" s="1">
        <v>100</v>
      </c>
      <c r="D863" s="1">
        <v>4.5625</v>
      </c>
      <c r="E863" s="1">
        <v>0</v>
      </c>
      <c r="F863" s="1">
        <v>4.5625</v>
      </c>
    </row>
    <row r="864" spans="1:6">
      <c r="A864" s="1" t="s">
        <v>407</v>
      </c>
      <c r="B864" s="3">
        <v>43108</v>
      </c>
      <c r="C864" s="1">
        <v>100</v>
      </c>
      <c r="D864" s="1">
        <v>4.5625</v>
      </c>
      <c r="E864" s="1">
        <v>0</v>
      </c>
      <c r="F864" s="1">
        <v>4.5625</v>
      </c>
    </row>
    <row r="865" spans="1:6">
      <c r="A865" s="1" t="s">
        <v>407</v>
      </c>
      <c r="B865" s="3">
        <v>43291</v>
      </c>
      <c r="C865" s="1">
        <v>100</v>
      </c>
      <c r="D865" s="1">
        <v>4.5625</v>
      </c>
      <c r="E865" s="1">
        <v>0</v>
      </c>
      <c r="F865" s="1">
        <v>4.5625</v>
      </c>
    </row>
    <row r="866" spans="1:6">
      <c r="A866" s="1" t="s">
        <v>407</v>
      </c>
      <c r="B866" s="3">
        <v>43472</v>
      </c>
      <c r="C866" s="1">
        <v>100</v>
      </c>
      <c r="D866" s="1">
        <v>4.5625</v>
      </c>
      <c r="E866" s="1">
        <v>0</v>
      </c>
      <c r="F866" s="1">
        <v>4.5625</v>
      </c>
    </row>
    <row r="867" spans="1:6">
      <c r="A867" s="1" t="s">
        <v>407</v>
      </c>
      <c r="B867" s="3">
        <v>43656</v>
      </c>
      <c r="C867" s="1">
        <v>100</v>
      </c>
      <c r="D867" s="1">
        <v>4.5625</v>
      </c>
      <c r="E867" s="1">
        <v>0</v>
      </c>
      <c r="F867" s="1">
        <v>4.5625</v>
      </c>
    </row>
    <row r="868" spans="1:6">
      <c r="A868" s="1" t="s">
        <v>407</v>
      </c>
      <c r="B868" s="3">
        <v>43837</v>
      </c>
      <c r="C868" s="1">
        <v>100</v>
      </c>
      <c r="D868" s="1">
        <v>4.5625</v>
      </c>
      <c r="E868" s="1">
        <v>0</v>
      </c>
      <c r="F868" s="1">
        <v>4.5625</v>
      </c>
    </row>
    <row r="869" spans="1:6">
      <c r="A869" s="1" t="s">
        <v>407</v>
      </c>
      <c r="B869" s="3">
        <v>44019</v>
      </c>
      <c r="C869" s="1">
        <v>100</v>
      </c>
      <c r="D869" s="1">
        <v>4.5625</v>
      </c>
      <c r="E869" s="1">
        <v>0</v>
      </c>
      <c r="F869" s="1">
        <v>4.5625</v>
      </c>
    </row>
    <row r="870" spans="1:6">
      <c r="A870" s="1" t="s">
        <v>407</v>
      </c>
      <c r="B870" s="3">
        <v>44251</v>
      </c>
      <c r="C870" s="1">
        <v>100</v>
      </c>
      <c r="D870" s="1">
        <v>0</v>
      </c>
      <c r="E870" s="1">
        <v>0</v>
      </c>
      <c r="F870" s="1">
        <v>0</v>
      </c>
    </row>
    <row r="871" spans="1:6">
      <c r="A871" s="1" t="s">
        <v>407</v>
      </c>
      <c r="B871" s="3">
        <v>44348</v>
      </c>
      <c r="C871" s="1">
        <v>100</v>
      </c>
      <c r="D871" s="1">
        <v>1.0778</v>
      </c>
      <c r="E871" s="1">
        <v>0</v>
      </c>
      <c r="F871" s="1">
        <v>1.0778</v>
      </c>
    </row>
    <row r="872" spans="1:6">
      <c r="A872" s="1" t="s">
        <v>407</v>
      </c>
      <c r="B872" s="3">
        <v>44531</v>
      </c>
      <c r="C872" s="1">
        <v>100</v>
      </c>
      <c r="D872" s="1">
        <v>2.5</v>
      </c>
      <c r="E872" s="1">
        <v>0</v>
      </c>
      <c r="F872" s="1">
        <v>2.5</v>
      </c>
    </row>
    <row r="873" spans="1:6">
      <c r="A873" s="1" t="s">
        <v>407</v>
      </c>
      <c r="B873" s="3">
        <v>44713</v>
      </c>
      <c r="C873" s="1">
        <v>100</v>
      </c>
      <c r="D873" s="1">
        <v>2.5</v>
      </c>
      <c r="E873" s="1">
        <v>0</v>
      </c>
      <c r="F873" s="1">
        <v>2.5</v>
      </c>
    </row>
    <row r="874" spans="1:6">
      <c r="A874" s="1" t="s">
        <v>407</v>
      </c>
      <c r="B874" s="3">
        <v>44896</v>
      </c>
      <c r="C874" s="1">
        <v>100</v>
      </c>
      <c r="D874" s="1">
        <v>4.25</v>
      </c>
      <c r="E874" s="1">
        <v>0</v>
      </c>
      <c r="F874" s="1">
        <v>4.25</v>
      </c>
    </row>
    <row r="875" spans="1:6">
      <c r="A875" s="1" t="s">
        <v>407</v>
      </c>
      <c r="B875" s="3">
        <v>45078</v>
      </c>
      <c r="C875" s="1">
        <v>95</v>
      </c>
      <c r="D875" s="1">
        <v>4.25</v>
      </c>
      <c r="E875" s="1">
        <v>5</v>
      </c>
      <c r="F875" s="1">
        <v>9.25</v>
      </c>
    </row>
    <row r="876" spans="1:6">
      <c r="A876" s="1" t="s">
        <v>407</v>
      </c>
      <c r="B876" s="3">
        <v>45261</v>
      </c>
      <c r="C876" s="1">
        <v>90</v>
      </c>
      <c r="D876" s="1">
        <v>4.0375</v>
      </c>
      <c r="E876" s="1">
        <v>5</v>
      </c>
      <c r="F876" s="1">
        <v>9.0375</v>
      </c>
    </row>
    <row r="877" spans="1:6">
      <c r="A877" s="1" t="s">
        <v>407</v>
      </c>
      <c r="B877" s="3">
        <v>45446</v>
      </c>
      <c r="C877" s="1">
        <v>82.5</v>
      </c>
      <c r="D877" s="1">
        <v>3.825</v>
      </c>
      <c r="E877" s="1">
        <v>7.5</v>
      </c>
      <c r="F877" s="1">
        <v>11.325</v>
      </c>
    </row>
    <row r="878" spans="1:6">
      <c r="A878" s="1" t="s">
        <v>407</v>
      </c>
      <c r="B878" s="3">
        <v>45628</v>
      </c>
      <c r="C878" s="1">
        <v>75</v>
      </c>
      <c r="D878" s="1">
        <v>3.5063</v>
      </c>
      <c r="E878" s="1">
        <v>7.5</v>
      </c>
      <c r="F878" s="1">
        <v>11.0063</v>
      </c>
    </row>
    <row r="879" spans="1:6">
      <c r="A879" s="1" t="s">
        <v>407</v>
      </c>
      <c r="B879" s="3">
        <v>45810</v>
      </c>
      <c r="C879" s="1">
        <v>62.5</v>
      </c>
      <c r="D879" s="1">
        <v>3.1875</v>
      </c>
      <c r="E879" s="1">
        <v>12.5</v>
      </c>
      <c r="F879" s="1">
        <v>15.6875</v>
      </c>
    </row>
    <row r="880" spans="1:6">
      <c r="A880" s="1" t="s">
        <v>407</v>
      </c>
      <c r="B880" s="3">
        <v>45992</v>
      </c>
      <c r="C880" s="1">
        <v>50</v>
      </c>
      <c r="D880" s="1">
        <v>2.6563</v>
      </c>
      <c r="E880" s="1">
        <v>12.5</v>
      </c>
      <c r="F880" s="1">
        <v>15.1563</v>
      </c>
    </row>
    <row r="881" spans="1:6">
      <c r="A881" s="1" t="s">
        <v>407</v>
      </c>
      <c r="B881" s="3">
        <v>46174</v>
      </c>
      <c r="C881" s="1">
        <v>37.5</v>
      </c>
      <c r="D881" s="1">
        <v>2.125</v>
      </c>
      <c r="E881" s="1">
        <v>12.5</v>
      </c>
      <c r="F881" s="1">
        <v>14.625</v>
      </c>
    </row>
    <row r="882" spans="1:6">
      <c r="A882" s="1" t="s">
        <v>407</v>
      </c>
      <c r="B882" s="3">
        <v>46357</v>
      </c>
      <c r="C882" s="1">
        <v>25</v>
      </c>
      <c r="D882" s="1">
        <v>1.5938</v>
      </c>
      <c r="E882" s="1">
        <v>12.5</v>
      </c>
      <c r="F882" s="1">
        <v>14.0938</v>
      </c>
    </row>
    <row r="883" spans="1:6">
      <c r="A883" s="1" t="s">
        <v>407</v>
      </c>
      <c r="B883" s="3">
        <v>46539</v>
      </c>
      <c r="C883" s="1">
        <v>12.5</v>
      </c>
      <c r="D883" s="1">
        <v>1.0625</v>
      </c>
      <c r="E883" s="1">
        <v>12.5</v>
      </c>
      <c r="F883" s="1">
        <v>13.5625</v>
      </c>
    </row>
    <row r="884" spans="1:6">
      <c r="A884" s="1" t="s">
        <v>407</v>
      </c>
      <c r="B884" s="3">
        <v>46722</v>
      </c>
      <c r="C884" s="1">
        <v>0</v>
      </c>
      <c r="D884" s="1">
        <v>0.5313</v>
      </c>
      <c r="E884" s="1">
        <v>12.5</v>
      </c>
      <c r="F884" s="1">
        <v>13.0313</v>
      </c>
    </row>
    <row r="885" spans="1:6">
      <c r="A885" s="1" t="s">
        <v>408</v>
      </c>
      <c r="B885" s="3">
        <v>42786</v>
      </c>
      <c r="C885" s="1">
        <v>100</v>
      </c>
      <c r="D885" s="1">
        <v>4.6875</v>
      </c>
      <c r="E885" s="1">
        <v>0</v>
      </c>
      <c r="F885" s="1">
        <v>4.6875</v>
      </c>
    </row>
    <row r="886" spans="1:6">
      <c r="A886" s="1" t="s">
        <v>408</v>
      </c>
      <c r="B886" s="3">
        <v>42965</v>
      </c>
      <c r="C886" s="1">
        <v>100</v>
      </c>
      <c r="D886" s="1">
        <v>4.6875</v>
      </c>
      <c r="E886" s="1">
        <v>0</v>
      </c>
      <c r="F886" s="1">
        <v>4.6875</v>
      </c>
    </row>
    <row r="887" spans="1:6">
      <c r="A887" s="1" t="s">
        <v>408</v>
      </c>
      <c r="B887" s="3">
        <v>43150</v>
      </c>
      <c r="C887" s="1">
        <v>100</v>
      </c>
      <c r="D887" s="1">
        <v>4.6875</v>
      </c>
      <c r="E887" s="1">
        <v>0</v>
      </c>
      <c r="F887" s="1">
        <v>4.6875</v>
      </c>
    </row>
    <row r="888" spans="1:6">
      <c r="A888" s="1" t="s">
        <v>408</v>
      </c>
      <c r="B888" s="3">
        <v>43333</v>
      </c>
      <c r="C888" s="1">
        <v>100</v>
      </c>
      <c r="D888" s="1">
        <v>4.6875</v>
      </c>
      <c r="E888" s="1">
        <v>0</v>
      </c>
      <c r="F888" s="1">
        <v>4.6875</v>
      </c>
    </row>
    <row r="889" spans="1:6">
      <c r="A889" s="1" t="s">
        <v>408</v>
      </c>
      <c r="B889" s="3">
        <v>43514</v>
      </c>
      <c r="C889" s="1">
        <v>100</v>
      </c>
      <c r="D889" s="1">
        <v>4.6875</v>
      </c>
      <c r="E889" s="1">
        <v>0</v>
      </c>
      <c r="F889" s="1">
        <v>4.6875</v>
      </c>
    </row>
    <row r="890" spans="1:6">
      <c r="A890" s="1" t="s">
        <v>408</v>
      </c>
      <c r="B890" s="3">
        <v>43697</v>
      </c>
      <c r="C890" s="1">
        <v>100</v>
      </c>
      <c r="D890" s="1">
        <v>4.6875</v>
      </c>
      <c r="E890" s="1">
        <v>0</v>
      </c>
      <c r="F890" s="1">
        <v>4.6875</v>
      </c>
    </row>
    <row r="891" spans="1:6">
      <c r="A891" s="1" t="s">
        <v>408</v>
      </c>
      <c r="B891" s="3">
        <v>43879</v>
      </c>
      <c r="C891" s="1">
        <v>100</v>
      </c>
      <c r="D891" s="1">
        <v>4.6875</v>
      </c>
      <c r="E891" s="1">
        <v>0</v>
      </c>
      <c r="F891" s="1">
        <v>4.6875</v>
      </c>
    </row>
    <row r="892" spans="1:6">
      <c r="A892" s="1" t="s">
        <v>408</v>
      </c>
      <c r="B892" s="3">
        <v>44061</v>
      </c>
      <c r="C892" s="1">
        <v>100</v>
      </c>
      <c r="D892" s="1">
        <v>0</v>
      </c>
      <c r="E892" s="1">
        <v>0</v>
      </c>
      <c r="F892" s="1">
        <v>0</v>
      </c>
    </row>
    <row r="893" spans="1:6">
      <c r="A893" s="1" t="s">
        <v>408</v>
      </c>
      <c r="B893" s="3">
        <v>44372</v>
      </c>
      <c r="C893" s="1">
        <v>100</v>
      </c>
      <c r="D893" s="1">
        <v>0</v>
      </c>
      <c r="E893" s="1">
        <v>0</v>
      </c>
      <c r="F893" s="1">
        <v>0</v>
      </c>
    </row>
    <row r="894" spans="1:6">
      <c r="A894" s="1" t="s">
        <v>408</v>
      </c>
      <c r="B894" s="3">
        <v>44426</v>
      </c>
      <c r="C894" s="1">
        <v>100</v>
      </c>
      <c r="D894" s="1">
        <v>0.515278</v>
      </c>
      <c r="E894" s="1">
        <v>0</v>
      </c>
      <c r="F894" s="1">
        <v>0.515278</v>
      </c>
    </row>
    <row r="895" spans="1:6">
      <c r="A895" s="1" t="s">
        <v>408</v>
      </c>
      <c r="B895" s="3">
        <v>44610</v>
      </c>
      <c r="C895" s="1">
        <v>100</v>
      </c>
      <c r="D895" s="1">
        <v>1.75</v>
      </c>
      <c r="E895" s="1">
        <v>0</v>
      </c>
      <c r="F895" s="1">
        <v>1.75</v>
      </c>
    </row>
    <row r="896" spans="1:6">
      <c r="A896" s="1" t="s">
        <v>408</v>
      </c>
      <c r="B896" s="3">
        <v>44791</v>
      </c>
      <c r="C896" s="1">
        <v>100</v>
      </c>
      <c r="D896" s="1">
        <v>2.375</v>
      </c>
      <c r="E896" s="1">
        <v>0</v>
      </c>
      <c r="F896" s="1">
        <v>2.375</v>
      </c>
    </row>
    <row r="897" spans="1:6">
      <c r="A897" s="1" t="s">
        <v>408</v>
      </c>
      <c r="B897" s="3">
        <v>44979</v>
      </c>
      <c r="C897" s="1">
        <v>100</v>
      </c>
      <c r="D897" s="1">
        <v>2.375</v>
      </c>
      <c r="E897" s="1">
        <v>0</v>
      </c>
      <c r="F897" s="1">
        <v>2.375</v>
      </c>
    </row>
    <row r="898" spans="1:6">
      <c r="A898" s="1" t="s">
        <v>408</v>
      </c>
      <c r="B898" s="3">
        <v>45156</v>
      </c>
      <c r="C898" s="1">
        <v>100</v>
      </c>
      <c r="D898" s="1">
        <v>3.25</v>
      </c>
      <c r="E898" s="1">
        <v>0</v>
      </c>
      <c r="F898" s="1">
        <v>3.25</v>
      </c>
    </row>
    <row r="899" spans="1:6">
      <c r="A899" s="1" t="s">
        <v>408</v>
      </c>
      <c r="B899" s="3">
        <v>45341</v>
      </c>
      <c r="C899" s="1">
        <v>88.88</v>
      </c>
      <c r="D899" s="1">
        <v>3.25</v>
      </c>
      <c r="E899" s="1">
        <v>11.12</v>
      </c>
      <c r="F899" s="1">
        <v>14.37</v>
      </c>
    </row>
    <row r="900" spans="1:6">
      <c r="A900" s="1" t="s">
        <v>408</v>
      </c>
      <c r="B900" s="3">
        <v>45523</v>
      </c>
      <c r="C900" s="1">
        <v>77.77</v>
      </c>
      <c r="D900" s="1">
        <v>3.6663</v>
      </c>
      <c r="E900" s="1">
        <v>11.11</v>
      </c>
      <c r="F900" s="1">
        <v>14.7763</v>
      </c>
    </row>
    <row r="901" spans="1:6">
      <c r="A901" s="1" t="s">
        <v>408</v>
      </c>
      <c r="B901" s="3">
        <v>45706</v>
      </c>
      <c r="C901" s="1">
        <v>66.66</v>
      </c>
      <c r="D901" s="1">
        <v>3.208013</v>
      </c>
      <c r="E901" s="1">
        <v>11.11</v>
      </c>
      <c r="F901" s="1">
        <v>14.318013</v>
      </c>
    </row>
    <row r="902" spans="1:6">
      <c r="A902" s="1" t="s">
        <v>408</v>
      </c>
      <c r="B902" s="3">
        <v>45887</v>
      </c>
      <c r="C902" s="1">
        <v>55.55</v>
      </c>
      <c r="D902" s="1">
        <v>2.749725</v>
      </c>
      <c r="E902" s="1">
        <v>11.11</v>
      </c>
      <c r="F902" s="1">
        <v>13.859725</v>
      </c>
    </row>
    <row r="903" spans="1:6">
      <c r="A903" s="1" t="s">
        <v>408</v>
      </c>
      <c r="B903" s="3">
        <v>46071</v>
      </c>
      <c r="C903" s="1">
        <v>44.44</v>
      </c>
      <c r="D903" s="1">
        <v>2.291438</v>
      </c>
      <c r="E903" s="1">
        <v>11.11</v>
      </c>
      <c r="F903" s="1">
        <v>13.401438</v>
      </c>
    </row>
    <row r="904" spans="1:6">
      <c r="A904" s="1" t="s">
        <v>408</v>
      </c>
      <c r="B904" s="3">
        <v>46252</v>
      </c>
      <c r="C904" s="1">
        <v>33.33</v>
      </c>
      <c r="D904" s="1">
        <v>1.83315</v>
      </c>
      <c r="E904" s="1">
        <v>11.11</v>
      </c>
      <c r="F904" s="1">
        <v>12.94315</v>
      </c>
    </row>
    <row r="905" spans="1:6">
      <c r="A905" s="1" t="s">
        <v>408</v>
      </c>
      <c r="B905" s="3">
        <v>46436</v>
      </c>
      <c r="C905" s="1">
        <v>22.22</v>
      </c>
      <c r="D905" s="1">
        <v>1.374863</v>
      </c>
      <c r="E905" s="1">
        <v>11.11</v>
      </c>
      <c r="F905" s="1">
        <v>12.484863</v>
      </c>
    </row>
    <row r="906" spans="1:6">
      <c r="A906" s="1" t="s">
        <v>408</v>
      </c>
      <c r="B906" s="3">
        <v>46617</v>
      </c>
      <c r="C906" s="1">
        <v>11.11</v>
      </c>
      <c r="D906" s="1">
        <v>0.916575</v>
      </c>
      <c r="E906" s="1">
        <v>11.11</v>
      </c>
      <c r="F906" s="1">
        <v>12.026575</v>
      </c>
    </row>
    <row r="907" spans="1:6">
      <c r="A907" s="1" t="s">
        <v>408</v>
      </c>
      <c r="B907" s="3">
        <v>46801</v>
      </c>
      <c r="C907" s="1">
        <v>0</v>
      </c>
      <c r="D907" s="1">
        <v>0.458288</v>
      </c>
      <c r="E907" s="1">
        <v>11.11</v>
      </c>
      <c r="F907" s="1">
        <v>11.568288</v>
      </c>
    </row>
    <row r="908" spans="1:6">
      <c r="A908" s="1" t="s">
        <v>409</v>
      </c>
      <c r="B908" s="3">
        <v>42971</v>
      </c>
      <c r="C908" s="1">
        <v>100</v>
      </c>
      <c r="D908" s="1">
        <v>4.875</v>
      </c>
      <c r="E908" s="1">
        <v>0</v>
      </c>
      <c r="F908" s="1">
        <v>4.875</v>
      </c>
    </row>
    <row r="909" spans="1:6">
      <c r="A909" s="1" t="s">
        <v>409</v>
      </c>
      <c r="B909" s="3">
        <v>43157</v>
      </c>
      <c r="C909" s="1">
        <v>100</v>
      </c>
      <c r="D909" s="1">
        <v>4.875</v>
      </c>
      <c r="E909" s="1">
        <v>0</v>
      </c>
      <c r="F909" s="1">
        <v>4.875</v>
      </c>
    </row>
    <row r="910" spans="1:6">
      <c r="A910" s="1" t="s">
        <v>409</v>
      </c>
      <c r="B910" s="3">
        <v>43336</v>
      </c>
      <c r="C910" s="1">
        <v>100</v>
      </c>
      <c r="D910" s="1">
        <v>4.875</v>
      </c>
      <c r="E910" s="1">
        <v>0</v>
      </c>
      <c r="F910" s="1">
        <v>4.875</v>
      </c>
    </row>
    <row r="911" spans="1:6">
      <c r="A911" s="1" t="s">
        <v>409</v>
      </c>
      <c r="B911" s="3">
        <v>43521</v>
      </c>
      <c r="C911" s="1">
        <v>100</v>
      </c>
      <c r="D911" s="1">
        <v>4.875</v>
      </c>
      <c r="E911" s="1">
        <v>0</v>
      </c>
      <c r="F911" s="1">
        <v>4.875</v>
      </c>
    </row>
    <row r="912" spans="1:6">
      <c r="A912" s="1" t="s">
        <v>409</v>
      </c>
      <c r="B912" s="3">
        <v>43703</v>
      </c>
      <c r="C912" s="1">
        <v>100</v>
      </c>
      <c r="D912" s="1">
        <v>4.875</v>
      </c>
      <c r="E912" s="1">
        <v>0</v>
      </c>
      <c r="F912" s="1">
        <v>4.875</v>
      </c>
    </row>
    <row r="913" spans="1:6">
      <c r="A913" s="1" t="s">
        <v>409</v>
      </c>
      <c r="B913" s="3">
        <v>43887</v>
      </c>
      <c r="C913" s="1">
        <v>100</v>
      </c>
      <c r="D913" s="1">
        <v>4.875</v>
      </c>
      <c r="E913" s="1">
        <v>0</v>
      </c>
      <c r="F913" s="1">
        <v>4.875</v>
      </c>
    </row>
    <row r="914" spans="1:6">
      <c r="A914" s="1" t="s">
        <v>409</v>
      </c>
      <c r="B914" s="3">
        <v>44067</v>
      </c>
      <c r="C914" s="1">
        <v>100</v>
      </c>
      <c r="D914" s="1">
        <v>0</v>
      </c>
      <c r="E914" s="1">
        <v>0</v>
      </c>
      <c r="F914" s="1">
        <v>0</v>
      </c>
    </row>
    <row r="915" spans="1:6">
      <c r="A915" s="1" t="s">
        <v>409</v>
      </c>
      <c r="B915" s="3">
        <v>44251</v>
      </c>
      <c r="C915" s="1">
        <v>100</v>
      </c>
      <c r="D915" s="1">
        <v>0</v>
      </c>
      <c r="E915" s="1">
        <v>0</v>
      </c>
      <c r="F915" s="1">
        <v>0</v>
      </c>
    </row>
    <row r="916" spans="1:6">
      <c r="A916" s="1" t="s">
        <v>409</v>
      </c>
      <c r="B916" s="3">
        <v>44432</v>
      </c>
      <c r="C916" s="1">
        <v>100</v>
      </c>
      <c r="D916" s="1">
        <v>0</v>
      </c>
      <c r="E916" s="1">
        <v>0</v>
      </c>
      <c r="F916" s="1">
        <v>0</v>
      </c>
    </row>
    <row r="917" spans="1:6">
      <c r="A917" s="1" t="s">
        <v>409</v>
      </c>
      <c r="B917" s="3">
        <v>44616</v>
      </c>
      <c r="C917" s="1">
        <v>100</v>
      </c>
      <c r="D917" s="1">
        <v>1.75</v>
      </c>
      <c r="E917" s="1">
        <v>0</v>
      </c>
      <c r="F917" s="1">
        <v>1.75</v>
      </c>
    </row>
    <row r="918" spans="1:6">
      <c r="A918" s="1" t="s">
        <v>409</v>
      </c>
      <c r="B918" s="3">
        <v>44797</v>
      </c>
      <c r="C918" s="1">
        <v>100</v>
      </c>
      <c r="D918" s="1">
        <v>2.375</v>
      </c>
      <c r="E918" s="1">
        <v>0</v>
      </c>
      <c r="F918" s="1">
        <v>2.375</v>
      </c>
    </row>
    <row r="919" spans="1:6">
      <c r="A919" s="1" t="s">
        <v>409</v>
      </c>
      <c r="B919" s="3">
        <v>44981</v>
      </c>
      <c r="C919" s="1">
        <v>100</v>
      </c>
      <c r="D919" s="1">
        <v>2.375</v>
      </c>
      <c r="E919" s="1">
        <v>0</v>
      </c>
      <c r="F919" s="1">
        <v>2.375</v>
      </c>
    </row>
    <row r="920" spans="1:6">
      <c r="A920" s="1" t="s">
        <v>409</v>
      </c>
      <c r="B920" s="3">
        <v>45162</v>
      </c>
      <c r="C920" s="1">
        <v>100</v>
      </c>
      <c r="D920" s="1">
        <v>3.25</v>
      </c>
      <c r="E920" s="1">
        <v>0</v>
      </c>
      <c r="F920" s="1">
        <v>3.25</v>
      </c>
    </row>
    <row r="921" spans="1:6">
      <c r="A921" s="1" t="s">
        <v>409</v>
      </c>
      <c r="B921" s="3">
        <v>45348</v>
      </c>
      <c r="C921" s="1">
        <v>95</v>
      </c>
      <c r="D921" s="1">
        <v>3.25</v>
      </c>
      <c r="E921" s="1">
        <v>5</v>
      </c>
      <c r="F921" s="1">
        <v>8.25</v>
      </c>
    </row>
    <row r="922" spans="1:6">
      <c r="A922" s="1" t="s">
        <v>409</v>
      </c>
      <c r="B922" s="3">
        <v>45530</v>
      </c>
      <c r="C922" s="1">
        <v>83.125</v>
      </c>
      <c r="D922" s="1">
        <v>4.0375</v>
      </c>
      <c r="E922" s="1">
        <v>11.875</v>
      </c>
      <c r="F922" s="1">
        <v>15.9125</v>
      </c>
    </row>
    <row r="923" spans="1:6">
      <c r="A923" s="1" t="s">
        <v>409</v>
      </c>
      <c r="B923" s="3">
        <v>45712</v>
      </c>
      <c r="C923" s="1">
        <v>71.25</v>
      </c>
      <c r="D923" s="1">
        <v>3.532813</v>
      </c>
      <c r="E923" s="1">
        <v>11.875</v>
      </c>
      <c r="F923" s="1">
        <v>15.407813</v>
      </c>
    </row>
    <row r="924" spans="1:6">
      <c r="A924" s="1" t="s">
        <v>409</v>
      </c>
      <c r="B924" s="3">
        <v>45894</v>
      </c>
      <c r="C924" s="1">
        <v>59.375</v>
      </c>
      <c r="D924" s="1">
        <v>3.028125</v>
      </c>
      <c r="E924" s="1">
        <v>11.875</v>
      </c>
      <c r="F924" s="1">
        <v>14.903125</v>
      </c>
    </row>
    <row r="925" spans="1:6">
      <c r="A925" s="1" t="s">
        <v>409</v>
      </c>
      <c r="B925" s="3">
        <v>46077</v>
      </c>
      <c r="C925" s="1">
        <v>47.5</v>
      </c>
      <c r="D925" s="1">
        <v>2.523438</v>
      </c>
      <c r="E925" s="1">
        <v>11.875</v>
      </c>
      <c r="F925" s="1">
        <v>14.398438</v>
      </c>
    </row>
    <row r="926" spans="1:6">
      <c r="A926" s="1" t="s">
        <v>409</v>
      </c>
      <c r="B926" s="3">
        <v>46258</v>
      </c>
      <c r="C926" s="1">
        <v>35.625</v>
      </c>
      <c r="D926" s="1">
        <v>2.01875</v>
      </c>
      <c r="E926" s="1">
        <v>11.875</v>
      </c>
      <c r="F926" s="1">
        <v>13.89375</v>
      </c>
    </row>
    <row r="927" spans="1:6">
      <c r="A927" s="1" t="s">
        <v>409</v>
      </c>
      <c r="B927" s="3">
        <v>46442</v>
      </c>
      <c r="C927" s="1">
        <v>23.75</v>
      </c>
      <c r="D927" s="1">
        <v>1.514063</v>
      </c>
      <c r="E927" s="1">
        <v>11.875</v>
      </c>
      <c r="F927" s="1">
        <v>13.389062</v>
      </c>
    </row>
    <row r="928" spans="1:6">
      <c r="A928" s="1" t="s">
        <v>409</v>
      </c>
      <c r="B928" s="3">
        <v>46623</v>
      </c>
      <c r="C928" s="1">
        <v>11.875</v>
      </c>
      <c r="D928" s="1">
        <v>1.009375</v>
      </c>
      <c r="E928" s="1">
        <v>11.875</v>
      </c>
      <c r="F928" s="1">
        <v>12.884375</v>
      </c>
    </row>
    <row r="929" spans="1:6">
      <c r="A929" s="1" t="s">
        <v>409</v>
      </c>
      <c r="B929" s="3">
        <v>46807</v>
      </c>
      <c r="C929" s="1">
        <v>0</v>
      </c>
      <c r="D929" s="1">
        <v>0.504688</v>
      </c>
      <c r="E929" s="1">
        <v>11.875</v>
      </c>
      <c r="F929" s="1">
        <v>12.379687</v>
      </c>
    </row>
    <row r="930" spans="1:6">
      <c r="A930" s="1" t="s">
        <v>410</v>
      </c>
      <c r="B930" s="3">
        <v>43258</v>
      </c>
      <c r="C930" s="1">
        <v>100</v>
      </c>
      <c r="D930" s="1">
        <v>3.875</v>
      </c>
      <c r="E930" s="1">
        <v>0</v>
      </c>
      <c r="F930" s="1">
        <v>3.875</v>
      </c>
    </row>
    <row r="931" spans="1:6">
      <c r="A931" s="1" t="s">
        <v>410</v>
      </c>
      <c r="B931" s="3">
        <v>43441</v>
      </c>
      <c r="C931" s="1">
        <v>100</v>
      </c>
      <c r="D931" s="1">
        <v>3.875</v>
      </c>
      <c r="E931" s="1">
        <v>0</v>
      </c>
      <c r="F931" s="1">
        <v>3.875</v>
      </c>
    </row>
    <row r="932" spans="1:6">
      <c r="A932" s="1" t="s">
        <v>410</v>
      </c>
      <c r="B932" s="3">
        <v>43623</v>
      </c>
      <c r="C932" s="1">
        <v>100</v>
      </c>
      <c r="D932" s="1">
        <v>3.875</v>
      </c>
      <c r="E932" s="1">
        <v>0</v>
      </c>
      <c r="F932" s="1">
        <v>3.875</v>
      </c>
    </row>
    <row r="933" spans="1:6">
      <c r="A933" s="1" t="s">
        <v>410</v>
      </c>
      <c r="B933" s="3">
        <v>43808</v>
      </c>
      <c r="C933" s="1">
        <v>100</v>
      </c>
      <c r="D933" s="1">
        <v>3.875</v>
      </c>
      <c r="E933" s="1">
        <v>0</v>
      </c>
      <c r="F933" s="1">
        <v>3.875</v>
      </c>
    </row>
    <row r="934" spans="1:6">
      <c r="A934" s="1" t="s">
        <v>410</v>
      </c>
      <c r="B934" s="3">
        <v>44188</v>
      </c>
      <c r="C934" s="1">
        <v>100</v>
      </c>
      <c r="D934" s="1">
        <v>0</v>
      </c>
      <c r="E934" s="1">
        <v>0</v>
      </c>
      <c r="F934" s="1">
        <v>0</v>
      </c>
    </row>
    <row r="935" spans="1:6">
      <c r="A935" s="1" t="s">
        <v>410</v>
      </c>
      <c r="B935" s="3">
        <v>44449</v>
      </c>
      <c r="C935" s="1">
        <v>100</v>
      </c>
      <c r="D935" s="1">
        <v>1.963194</v>
      </c>
      <c r="E935" s="1">
        <v>0</v>
      </c>
      <c r="F935" s="1">
        <v>1.963194</v>
      </c>
    </row>
    <row r="936" spans="1:6">
      <c r="A936" s="1" t="s">
        <v>410</v>
      </c>
      <c r="B936" s="3">
        <v>44630</v>
      </c>
      <c r="C936" s="1">
        <v>100</v>
      </c>
      <c r="D936" s="1">
        <v>2.4375</v>
      </c>
      <c r="E936" s="1">
        <v>0</v>
      </c>
      <c r="F936" s="1">
        <v>2.4375</v>
      </c>
    </row>
    <row r="937" spans="1:6">
      <c r="A937" s="1" t="s">
        <v>410</v>
      </c>
      <c r="B937" s="3">
        <v>44816</v>
      </c>
      <c r="C937" s="1">
        <v>100</v>
      </c>
      <c r="D937" s="1">
        <v>2.4375</v>
      </c>
      <c r="E937" s="1">
        <v>0</v>
      </c>
      <c r="F937" s="1">
        <v>2.4375</v>
      </c>
    </row>
    <row r="938" spans="1:6">
      <c r="A938" s="1" t="s">
        <v>410</v>
      </c>
      <c r="B938" s="3">
        <v>44995</v>
      </c>
      <c r="C938" s="1">
        <v>100</v>
      </c>
      <c r="D938" s="1">
        <v>3.3125</v>
      </c>
      <c r="E938" s="1">
        <v>0</v>
      </c>
      <c r="F938" s="1">
        <v>3.3125</v>
      </c>
    </row>
    <row r="939" spans="1:6">
      <c r="A939" s="1" t="s">
        <v>410</v>
      </c>
      <c r="B939" s="3">
        <v>45180</v>
      </c>
      <c r="C939" s="1">
        <v>100</v>
      </c>
      <c r="D939" s="1">
        <v>3.3125</v>
      </c>
      <c r="E939" s="1">
        <v>0</v>
      </c>
      <c r="F939" s="1">
        <v>3.3125</v>
      </c>
    </row>
    <row r="940" spans="1:6">
      <c r="A940" s="1" t="s">
        <v>410</v>
      </c>
      <c r="B940" s="3">
        <v>45362</v>
      </c>
      <c r="C940" s="1">
        <v>88.8889</v>
      </c>
      <c r="D940" s="1">
        <v>3.4375</v>
      </c>
      <c r="E940" s="1">
        <v>11.111111</v>
      </c>
      <c r="F940" s="1">
        <v>14.548611</v>
      </c>
    </row>
    <row r="941" spans="1:6">
      <c r="A941" s="1" t="s">
        <v>410</v>
      </c>
      <c r="B941" s="3">
        <v>45545</v>
      </c>
      <c r="C941" s="1">
        <v>77.7778</v>
      </c>
      <c r="D941" s="1">
        <v>3.055556</v>
      </c>
      <c r="E941" s="1">
        <v>11.111111</v>
      </c>
      <c r="F941" s="1">
        <v>14.166667</v>
      </c>
    </row>
    <row r="942" spans="1:6">
      <c r="A942" s="1" t="s">
        <v>410</v>
      </c>
      <c r="B942" s="3">
        <v>45726</v>
      </c>
      <c r="C942" s="1">
        <v>66.6667</v>
      </c>
      <c r="D942" s="1">
        <v>2.673611</v>
      </c>
      <c r="E942" s="1">
        <v>11.111111</v>
      </c>
      <c r="F942" s="1">
        <v>13.784722</v>
      </c>
    </row>
    <row r="943" spans="1:6">
      <c r="A943" s="1" t="s">
        <v>410</v>
      </c>
      <c r="B943" s="3">
        <v>45910</v>
      </c>
      <c r="C943" s="1">
        <v>55.5556</v>
      </c>
      <c r="D943" s="1">
        <v>2.291667</v>
      </c>
      <c r="E943" s="1">
        <v>11.111111</v>
      </c>
      <c r="F943" s="1">
        <v>13.402778</v>
      </c>
    </row>
    <row r="944" spans="1:6">
      <c r="A944" s="1" t="s">
        <v>410</v>
      </c>
      <c r="B944" s="3">
        <v>46091</v>
      </c>
      <c r="C944" s="1">
        <v>44.4444</v>
      </c>
      <c r="D944" s="1">
        <v>1.909722</v>
      </c>
      <c r="E944" s="1">
        <v>11.111111</v>
      </c>
      <c r="F944" s="1">
        <v>13.020833</v>
      </c>
    </row>
    <row r="945" spans="1:6">
      <c r="A945" s="1" t="s">
        <v>410</v>
      </c>
      <c r="B945" s="3">
        <v>46275</v>
      </c>
      <c r="C945" s="1">
        <v>33.3333</v>
      </c>
      <c r="D945" s="1">
        <v>1.527778</v>
      </c>
      <c r="E945" s="1">
        <v>11.111111</v>
      </c>
      <c r="F945" s="1">
        <v>12.638889</v>
      </c>
    </row>
    <row r="946" spans="1:6">
      <c r="A946" s="1" t="s">
        <v>410</v>
      </c>
      <c r="B946" s="3">
        <v>46456</v>
      </c>
      <c r="C946" s="1">
        <v>22.2222</v>
      </c>
      <c r="D946" s="1">
        <v>1.145833</v>
      </c>
      <c r="E946" s="1">
        <v>11.111111</v>
      </c>
      <c r="F946" s="1">
        <v>12.256944</v>
      </c>
    </row>
    <row r="947" spans="1:6">
      <c r="A947" s="1" t="s">
        <v>410</v>
      </c>
      <c r="B947" s="3">
        <v>46640</v>
      </c>
      <c r="C947" s="1">
        <v>11.1111</v>
      </c>
      <c r="D947" s="1">
        <v>0.763889</v>
      </c>
      <c r="E947" s="1">
        <v>11.111111</v>
      </c>
      <c r="F947" s="1">
        <v>11.875</v>
      </c>
    </row>
    <row r="948" spans="1:6">
      <c r="A948" s="1" t="s">
        <v>410</v>
      </c>
      <c r="B948" s="3">
        <v>46822</v>
      </c>
      <c r="C948" s="1">
        <v>0</v>
      </c>
      <c r="D948" s="1">
        <v>0.381944</v>
      </c>
      <c r="E948" s="1">
        <v>11.111112</v>
      </c>
      <c r="F948" s="1">
        <v>11.493056</v>
      </c>
    </row>
    <row r="949" spans="1:6">
      <c r="A949" s="1" t="s">
        <v>411</v>
      </c>
      <c r="B949" s="3">
        <v>42955</v>
      </c>
      <c r="C949" s="1">
        <v>100</v>
      </c>
      <c r="D949" s="1">
        <v>4.375</v>
      </c>
      <c r="E949" s="1">
        <v>0</v>
      </c>
      <c r="F949" s="1">
        <v>4.375</v>
      </c>
    </row>
    <row r="950" spans="1:6">
      <c r="A950" s="1" t="s">
        <v>411</v>
      </c>
      <c r="B950" s="3">
        <v>43139</v>
      </c>
      <c r="C950" s="1">
        <v>100</v>
      </c>
      <c r="D950" s="1">
        <v>4.375</v>
      </c>
      <c r="E950" s="1">
        <v>0</v>
      </c>
      <c r="F950" s="1">
        <v>4.375</v>
      </c>
    </row>
    <row r="951" spans="1:6">
      <c r="A951" s="1" t="s">
        <v>411</v>
      </c>
      <c r="B951" s="3">
        <v>43320</v>
      </c>
      <c r="C951" s="1">
        <v>100</v>
      </c>
      <c r="D951" s="1">
        <v>4.375</v>
      </c>
      <c r="E951" s="1">
        <v>0</v>
      </c>
      <c r="F951" s="1">
        <v>4.375</v>
      </c>
    </row>
    <row r="952" spans="1:6">
      <c r="A952" s="1" t="s">
        <v>411</v>
      </c>
      <c r="B952" s="3">
        <v>43504</v>
      </c>
      <c r="C952" s="1">
        <v>100</v>
      </c>
      <c r="D952" s="1">
        <v>4.375</v>
      </c>
      <c r="E952" s="1">
        <v>0</v>
      </c>
      <c r="F952" s="1">
        <v>4.375</v>
      </c>
    </row>
    <row r="953" spans="1:6">
      <c r="A953" s="1" t="s">
        <v>411</v>
      </c>
      <c r="B953" s="3">
        <v>43685</v>
      </c>
      <c r="C953" s="1">
        <v>100</v>
      </c>
      <c r="D953" s="1">
        <v>4.375</v>
      </c>
      <c r="E953" s="1">
        <v>0</v>
      </c>
      <c r="F953" s="1">
        <v>4.375</v>
      </c>
    </row>
    <row r="954" spans="1:6">
      <c r="A954" s="1" t="s">
        <v>411</v>
      </c>
      <c r="B954" s="3">
        <v>43871</v>
      </c>
      <c r="C954" s="1">
        <v>100</v>
      </c>
      <c r="D954" s="1">
        <v>4.375</v>
      </c>
      <c r="E954" s="1">
        <v>0</v>
      </c>
      <c r="F954" s="1">
        <v>4.375</v>
      </c>
    </row>
    <row r="955" spans="1:6">
      <c r="A955" s="1" t="s">
        <v>411</v>
      </c>
      <c r="B955" s="3">
        <v>44053</v>
      </c>
      <c r="C955" s="1">
        <v>100</v>
      </c>
      <c r="D955" s="1">
        <v>0</v>
      </c>
      <c r="E955" s="1">
        <v>0</v>
      </c>
      <c r="F955" s="1">
        <v>0</v>
      </c>
    </row>
    <row r="956" spans="1:6">
      <c r="A956" s="1" t="s">
        <v>411</v>
      </c>
      <c r="B956" s="3">
        <v>44235</v>
      </c>
      <c r="C956" s="1">
        <v>100</v>
      </c>
      <c r="D956" s="1">
        <v>0</v>
      </c>
      <c r="E956" s="1">
        <v>0</v>
      </c>
      <c r="F956" s="1">
        <v>0</v>
      </c>
    </row>
    <row r="957" spans="1:6">
      <c r="A957" s="1" t="s">
        <v>411</v>
      </c>
      <c r="B957" s="3">
        <v>44417</v>
      </c>
      <c r="C957" s="1">
        <v>100</v>
      </c>
      <c r="D957" s="1">
        <v>2.5</v>
      </c>
      <c r="E957" s="1">
        <v>0</v>
      </c>
      <c r="F957" s="1">
        <v>2.5</v>
      </c>
    </row>
    <row r="958" spans="1:6">
      <c r="A958" s="1" t="s">
        <v>411</v>
      </c>
      <c r="B958" s="3">
        <v>44600</v>
      </c>
      <c r="C958" s="1">
        <v>100</v>
      </c>
      <c r="D958" s="1">
        <v>2.5</v>
      </c>
      <c r="E958" s="1">
        <v>0</v>
      </c>
      <c r="F958" s="1">
        <v>2.5</v>
      </c>
    </row>
    <row r="959" spans="1:6">
      <c r="A959" s="1" t="s">
        <v>411</v>
      </c>
      <c r="B959" s="3">
        <v>44781</v>
      </c>
      <c r="C959" s="1">
        <v>100</v>
      </c>
      <c r="D959" s="1">
        <v>2.5</v>
      </c>
      <c r="E959" s="1">
        <v>0</v>
      </c>
      <c r="F959" s="1">
        <v>2.5</v>
      </c>
    </row>
    <row r="960" spans="1:6">
      <c r="A960" s="1" t="s">
        <v>411</v>
      </c>
      <c r="B960" s="3">
        <v>44965</v>
      </c>
      <c r="C960" s="1">
        <v>95</v>
      </c>
      <c r="D960" s="1">
        <v>2.875</v>
      </c>
      <c r="E960" s="1">
        <v>5</v>
      </c>
      <c r="F960" s="1">
        <v>7.875</v>
      </c>
    </row>
    <row r="961" spans="1:6">
      <c r="A961" s="1" t="s">
        <v>411</v>
      </c>
      <c r="B961" s="3">
        <v>45146</v>
      </c>
      <c r="C961" s="1">
        <v>90</v>
      </c>
      <c r="D961" s="1">
        <v>3.8475</v>
      </c>
      <c r="E961" s="1">
        <v>5</v>
      </c>
      <c r="F961" s="1">
        <v>8.8475</v>
      </c>
    </row>
    <row r="962" spans="1:6">
      <c r="A962" s="1" t="s">
        <v>411</v>
      </c>
      <c r="B962" s="3">
        <v>45330</v>
      </c>
      <c r="C962" s="1">
        <v>81</v>
      </c>
      <c r="D962" s="1">
        <v>3.7125</v>
      </c>
      <c r="E962" s="1">
        <v>9</v>
      </c>
      <c r="F962" s="1">
        <v>12.7125</v>
      </c>
    </row>
    <row r="963" spans="1:6">
      <c r="A963" s="1" t="s">
        <v>411</v>
      </c>
      <c r="B963" s="3">
        <v>45512</v>
      </c>
      <c r="C963" s="1">
        <v>72</v>
      </c>
      <c r="D963" s="1">
        <v>3.34125</v>
      </c>
      <c r="E963" s="1">
        <v>9</v>
      </c>
      <c r="F963" s="1">
        <v>12.34125</v>
      </c>
    </row>
    <row r="964" spans="1:6">
      <c r="A964" s="1" t="s">
        <v>411</v>
      </c>
      <c r="B964" s="3">
        <v>45698</v>
      </c>
      <c r="C964" s="1">
        <v>63</v>
      </c>
      <c r="D964" s="1">
        <v>2.97</v>
      </c>
      <c r="E964" s="1">
        <v>9</v>
      </c>
      <c r="F964" s="1">
        <v>11.97</v>
      </c>
    </row>
    <row r="965" spans="1:6">
      <c r="A965" s="1" t="s">
        <v>411</v>
      </c>
      <c r="B965" s="3">
        <v>45877</v>
      </c>
      <c r="C965" s="1">
        <v>54</v>
      </c>
      <c r="D965" s="1">
        <v>2.59875</v>
      </c>
      <c r="E965" s="1">
        <v>9</v>
      </c>
      <c r="F965" s="1">
        <v>11.59875</v>
      </c>
    </row>
    <row r="966" spans="1:6">
      <c r="A966" s="1" t="s">
        <v>411</v>
      </c>
      <c r="B966" s="3">
        <v>46062</v>
      </c>
      <c r="C966" s="1">
        <v>45</v>
      </c>
      <c r="D966" s="1">
        <v>2.2275</v>
      </c>
      <c r="E966" s="1">
        <v>9</v>
      </c>
      <c r="F966" s="1">
        <v>11.2275</v>
      </c>
    </row>
    <row r="967" spans="1:6">
      <c r="A967" s="1" t="s">
        <v>411</v>
      </c>
      <c r="B967" s="3">
        <v>46244</v>
      </c>
      <c r="C967" s="1">
        <v>36</v>
      </c>
      <c r="D967" s="1">
        <v>1.85625</v>
      </c>
      <c r="E967" s="1">
        <v>9</v>
      </c>
      <c r="F967" s="1">
        <v>10.85625</v>
      </c>
    </row>
    <row r="968" spans="1:6">
      <c r="A968" s="1" t="s">
        <v>411</v>
      </c>
      <c r="B968" s="3">
        <v>46428</v>
      </c>
      <c r="C968" s="1">
        <v>27</v>
      </c>
      <c r="D968" s="1">
        <v>1.485</v>
      </c>
      <c r="E968" s="1">
        <v>9</v>
      </c>
      <c r="F968" s="1">
        <v>10.485</v>
      </c>
    </row>
    <row r="969" spans="1:6">
      <c r="A969" s="1" t="s">
        <v>411</v>
      </c>
      <c r="B969" s="3">
        <v>46608</v>
      </c>
      <c r="C969" s="1">
        <v>18</v>
      </c>
      <c r="D969" s="1">
        <v>1.11375</v>
      </c>
      <c r="E969" s="1">
        <v>9</v>
      </c>
      <c r="F969" s="1">
        <v>10.11375</v>
      </c>
    </row>
    <row r="970" spans="1:6">
      <c r="A970" s="1" t="s">
        <v>411</v>
      </c>
      <c r="B970" s="3">
        <v>46791</v>
      </c>
      <c r="C970" s="1">
        <v>9</v>
      </c>
      <c r="D970" s="1">
        <v>0.7425</v>
      </c>
      <c r="E970" s="1">
        <v>9</v>
      </c>
      <c r="F970" s="1">
        <v>9.7425</v>
      </c>
    </row>
    <row r="971" spans="1:6">
      <c r="A971" s="1" t="s">
        <v>411</v>
      </c>
      <c r="B971" s="3">
        <v>46973</v>
      </c>
      <c r="C971" s="1">
        <v>0</v>
      </c>
      <c r="D971" s="1">
        <v>0.37125</v>
      </c>
      <c r="E971" s="1">
        <v>9</v>
      </c>
      <c r="F971" s="1">
        <v>9.37125</v>
      </c>
    </row>
    <row r="972" spans="1:6">
      <c r="A972" s="1" t="s">
        <v>412</v>
      </c>
      <c r="B972" s="3">
        <v>43132</v>
      </c>
      <c r="C972" s="1">
        <v>100</v>
      </c>
      <c r="D972" s="1">
        <v>4.0375</v>
      </c>
      <c r="E972" s="1">
        <v>0</v>
      </c>
      <c r="F972" s="1">
        <v>4.0375</v>
      </c>
    </row>
    <row r="973" spans="1:6">
      <c r="A973" s="1" t="s">
        <v>412</v>
      </c>
      <c r="B973" s="3">
        <v>43313</v>
      </c>
      <c r="C973" s="1">
        <v>100</v>
      </c>
      <c r="D973" s="1">
        <v>3.5625</v>
      </c>
      <c r="E973" s="1">
        <v>0</v>
      </c>
      <c r="F973" s="1">
        <v>3.5625</v>
      </c>
    </row>
    <row r="974" spans="1:6">
      <c r="A974" s="1" t="s">
        <v>412</v>
      </c>
      <c r="B974" s="3">
        <v>43497</v>
      </c>
      <c r="C974" s="1">
        <v>100</v>
      </c>
      <c r="D974" s="1">
        <v>3.5625</v>
      </c>
      <c r="E974" s="1">
        <v>0</v>
      </c>
      <c r="F974" s="1">
        <v>3.5625</v>
      </c>
    </row>
    <row r="975" spans="1:6">
      <c r="A975" s="1" t="s">
        <v>412</v>
      </c>
      <c r="B975" s="3">
        <v>43678</v>
      </c>
      <c r="C975" s="1">
        <v>100</v>
      </c>
      <c r="D975" s="1">
        <v>3.5625</v>
      </c>
      <c r="E975" s="1">
        <v>0</v>
      </c>
      <c r="F975" s="1">
        <v>3.5625</v>
      </c>
    </row>
    <row r="976" spans="1:6">
      <c r="A976" s="1" t="s">
        <v>412</v>
      </c>
      <c r="B976" s="3">
        <v>43864</v>
      </c>
      <c r="C976" s="1">
        <v>100</v>
      </c>
      <c r="D976" s="1">
        <v>3.5625</v>
      </c>
      <c r="E976" s="1">
        <v>0</v>
      </c>
      <c r="F976" s="1">
        <v>3.5625</v>
      </c>
    </row>
    <row r="977" spans="1:6">
      <c r="A977" s="1" t="s">
        <v>412</v>
      </c>
      <c r="B977" s="3">
        <v>44046</v>
      </c>
      <c r="C977" s="1">
        <v>100</v>
      </c>
      <c r="D977" s="1">
        <v>3.5625</v>
      </c>
      <c r="E977" s="1">
        <v>0</v>
      </c>
      <c r="F977" s="1">
        <v>3.5625</v>
      </c>
    </row>
    <row r="978" spans="1:6">
      <c r="A978" s="1" t="s">
        <v>412</v>
      </c>
      <c r="B978" s="3">
        <v>44222</v>
      </c>
      <c r="C978" s="1">
        <v>100</v>
      </c>
      <c r="D978" s="1">
        <v>0</v>
      </c>
      <c r="E978" s="1">
        <v>0</v>
      </c>
      <c r="F978" s="1">
        <v>0</v>
      </c>
    </row>
    <row r="979" spans="1:6">
      <c r="A979" s="1" t="s">
        <v>412</v>
      </c>
      <c r="B979" s="3">
        <v>44228</v>
      </c>
      <c r="C979" s="1">
        <v>100</v>
      </c>
      <c r="D979" s="1">
        <v>0.041667</v>
      </c>
      <c r="E979" s="1">
        <v>0</v>
      </c>
      <c r="F979" s="1">
        <v>0.041667</v>
      </c>
    </row>
    <row r="980" spans="1:6">
      <c r="A980" s="1" t="s">
        <v>412</v>
      </c>
      <c r="B980" s="3">
        <v>44410</v>
      </c>
      <c r="C980" s="1">
        <v>100</v>
      </c>
      <c r="D980" s="1">
        <v>1.5</v>
      </c>
      <c r="E980" s="1">
        <v>0</v>
      </c>
      <c r="F980" s="1">
        <v>1.5</v>
      </c>
    </row>
    <row r="981" spans="1:6">
      <c r="A981" s="1" t="s">
        <v>412</v>
      </c>
      <c r="B981" s="3">
        <v>44593</v>
      </c>
      <c r="C981" s="1">
        <v>100</v>
      </c>
      <c r="D981" s="1">
        <v>2.5</v>
      </c>
      <c r="E981" s="1">
        <v>0</v>
      </c>
      <c r="F981" s="1">
        <v>2.5</v>
      </c>
    </row>
    <row r="982" spans="1:6">
      <c r="A982" s="1" t="s">
        <v>412</v>
      </c>
      <c r="B982" s="3">
        <v>44774</v>
      </c>
      <c r="C982" s="1">
        <v>100</v>
      </c>
      <c r="D982" s="1">
        <v>2.5</v>
      </c>
      <c r="E982" s="1">
        <v>0</v>
      </c>
      <c r="F982" s="1">
        <v>2.5</v>
      </c>
    </row>
    <row r="983" spans="1:6">
      <c r="A983" s="1" t="s">
        <v>412</v>
      </c>
      <c r="B983" s="3">
        <v>44958</v>
      </c>
      <c r="C983" s="1">
        <v>100</v>
      </c>
      <c r="D983" s="1">
        <v>3.4375</v>
      </c>
      <c r="E983" s="1">
        <v>0</v>
      </c>
      <c r="F983" s="1">
        <v>3.4375</v>
      </c>
    </row>
    <row r="984" spans="1:6">
      <c r="A984" s="1" t="s">
        <v>412</v>
      </c>
      <c r="B984" s="3">
        <v>45139</v>
      </c>
      <c r="C984" s="1">
        <v>100</v>
      </c>
      <c r="D984" s="1">
        <v>3.4375</v>
      </c>
      <c r="E984" s="1">
        <v>0</v>
      </c>
      <c r="F984" s="1">
        <v>3.4375</v>
      </c>
    </row>
    <row r="985" spans="1:6">
      <c r="A985" s="1" t="s">
        <v>412</v>
      </c>
      <c r="B985" s="3">
        <v>45323</v>
      </c>
      <c r="C985" s="1">
        <v>100</v>
      </c>
      <c r="D985" s="1">
        <v>3.4375</v>
      </c>
      <c r="E985" s="1">
        <v>0</v>
      </c>
      <c r="F985" s="1">
        <v>3.4375</v>
      </c>
    </row>
    <row r="986" spans="1:6">
      <c r="A986" s="1" t="s">
        <v>412</v>
      </c>
      <c r="B986" s="3">
        <v>45505</v>
      </c>
      <c r="C986" s="1">
        <v>100</v>
      </c>
      <c r="D986" s="1">
        <v>3.4375</v>
      </c>
      <c r="E986" s="1">
        <v>0</v>
      </c>
      <c r="F986" s="1">
        <v>3.4375</v>
      </c>
    </row>
    <row r="987" spans="1:6">
      <c r="A987" s="1" t="s">
        <v>412</v>
      </c>
      <c r="B987" s="3">
        <v>45691</v>
      </c>
      <c r="C987" s="1">
        <v>100</v>
      </c>
      <c r="D987" s="1">
        <v>3.4375</v>
      </c>
      <c r="E987" s="1">
        <v>0</v>
      </c>
      <c r="F987" s="1">
        <v>3.4375</v>
      </c>
    </row>
    <row r="988" spans="1:6">
      <c r="A988" s="1" t="s">
        <v>412</v>
      </c>
      <c r="B988" s="3">
        <v>45870</v>
      </c>
      <c r="C988" s="1">
        <v>100</v>
      </c>
      <c r="D988" s="1">
        <v>3.4375</v>
      </c>
      <c r="E988" s="1">
        <v>0</v>
      </c>
      <c r="F988" s="1">
        <v>3.4375</v>
      </c>
    </row>
    <row r="989" spans="1:6">
      <c r="A989" s="1" t="s">
        <v>412</v>
      </c>
      <c r="B989" s="3">
        <v>46055</v>
      </c>
      <c r="C989" s="1">
        <v>100</v>
      </c>
      <c r="D989" s="1">
        <v>3.4375</v>
      </c>
      <c r="E989" s="1">
        <v>0</v>
      </c>
      <c r="F989" s="1">
        <v>3.4375</v>
      </c>
    </row>
    <row r="990" spans="1:6">
      <c r="A990" s="1" t="s">
        <v>412</v>
      </c>
      <c r="B990" s="3">
        <v>46237</v>
      </c>
      <c r="C990" s="1">
        <v>100</v>
      </c>
      <c r="D990" s="1">
        <v>3.4375</v>
      </c>
      <c r="E990" s="1">
        <v>0</v>
      </c>
      <c r="F990" s="1">
        <v>3.4375</v>
      </c>
    </row>
    <row r="991" spans="1:6">
      <c r="A991" s="1" t="s">
        <v>412</v>
      </c>
      <c r="B991" s="3">
        <v>46419</v>
      </c>
      <c r="C991" s="1">
        <v>100</v>
      </c>
      <c r="D991" s="1">
        <v>3.4375</v>
      </c>
      <c r="E991" s="1">
        <v>0</v>
      </c>
      <c r="F991" s="1">
        <v>3.4375</v>
      </c>
    </row>
    <row r="992" spans="1:6">
      <c r="A992" s="1" t="s">
        <v>412</v>
      </c>
      <c r="B992" s="3">
        <v>46601</v>
      </c>
      <c r="C992" s="1">
        <v>75</v>
      </c>
      <c r="D992" s="1">
        <v>3.4375</v>
      </c>
      <c r="E992" s="1">
        <v>25</v>
      </c>
      <c r="F992" s="1">
        <v>28.4375</v>
      </c>
    </row>
    <row r="993" spans="1:6">
      <c r="A993" s="1" t="s">
        <v>412</v>
      </c>
      <c r="B993" s="3">
        <v>46784</v>
      </c>
      <c r="C993" s="1">
        <v>50</v>
      </c>
      <c r="D993" s="1">
        <v>2.578125</v>
      </c>
      <c r="E993" s="1">
        <v>25</v>
      </c>
      <c r="F993" s="1">
        <v>27.578125</v>
      </c>
    </row>
    <row r="994" spans="1:6">
      <c r="A994" s="1" t="s">
        <v>412</v>
      </c>
      <c r="B994" s="3">
        <v>46966</v>
      </c>
      <c r="C994" s="1">
        <v>25</v>
      </c>
      <c r="D994" s="1">
        <v>1.71875</v>
      </c>
      <c r="E994" s="1">
        <v>25</v>
      </c>
      <c r="F994" s="1">
        <v>26.71875</v>
      </c>
    </row>
    <row r="995" spans="1:6">
      <c r="A995" s="1" t="s">
        <v>412</v>
      </c>
      <c r="B995" s="3">
        <v>47150</v>
      </c>
      <c r="C995" s="1">
        <v>0</v>
      </c>
      <c r="D995" s="1">
        <v>0.859375</v>
      </c>
      <c r="E995" s="1">
        <v>25</v>
      </c>
      <c r="F995" s="1">
        <v>25.859375</v>
      </c>
    </row>
    <row r="996" spans="1:6">
      <c r="A996" s="1" t="s">
        <v>413</v>
      </c>
      <c r="B996" s="3">
        <v>44459</v>
      </c>
      <c r="C996" s="1">
        <v>100</v>
      </c>
      <c r="D996" s="1">
        <v>3.666667</v>
      </c>
      <c r="E996" s="1">
        <v>0</v>
      </c>
      <c r="F996" s="1">
        <v>3.666667</v>
      </c>
    </row>
    <row r="997" spans="1:6">
      <c r="A997" s="1" t="s">
        <v>413</v>
      </c>
      <c r="B997" s="3">
        <v>44641</v>
      </c>
      <c r="C997" s="1">
        <v>100</v>
      </c>
      <c r="D997" s="1">
        <v>2.125</v>
      </c>
      <c r="E997" s="1">
        <v>0</v>
      </c>
      <c r="F997" s="1">
        <v>2.125</v>
      </c>
    </row>
    <row r="998" spans="1:6">
      <c r="A998" s="1" t="s">
        <v>413</v>
      </c>
      <c r="B998" s="3">
        <v>44823</v>
      </c>
      <c r="C998" s="1">
        <v>100</v>
      </c>
      <c r="D998" s="1">
        <v>2.125</v>
      </c>
      <c r="E998" s="1">
        <v>0</v>
      </c>
      <c r="F998" s="1">
        <v>2.125</v>
      </c>
    </row>
    <row r="999" spans="1:6">
      <c r="A999" s="1" t="s">
        <v>413</v>
      </c>
      <c r="B999" s="3">
        <v>45005</v>
      </c>
      <c r="C999" s="1">
        <v>92.3077</v>
      </c>
      <c r="D999" s="1">
        <v>2.125</v>
      </c>
      <c r="E999" s="1">
        <v>7.692308</v>
      </c>
      <c r="F999" s="1">
        <v>9.817308</v>
      </c>
    </row>
    <row r="1000" spans="1:6">
      <c r="A1000" s="1" t="s">
        <v>413</v>
      </c>
      <c r="B1000" s="3">
        <v>45188</v>
      </c>
      <c r="C1000" s="1">
        <v>84.6154</v>
      </c>
      <c r="D1000" s="1">
        <v>2.653846</v>
      </c>
      <c r="E1000" s="1">
        <v>7.692308</v>
      </c>
      <c r="F1000" s="1">
        <v>10.346154</v>
      </c>
    </row>
    <row r="1001" spans="1:6">
      <c r="A1001" s="1" t="s">
        <v>413</v>
      </c>
      <c r="B1001" s="3">
        <v>45370</v>
      </c>
      <c r="C1001" s="1">
        <v>76.9231</v>
      </c>
      <c r="D1001" s="1">
        <v>2.432692</v>
      </c>
      <c r="E1001" s="1">
        <v>7.692308</v>
      </c>
      <c r="F1001" s="1">
        <v>10.125</v>
      </c>
    </row>
    <row r="1002" spans="1:6">
      <c r="A1002" s="1" t="s">
        <v>413</v>
      </c>
      <c r="B1002" s="3">
        <v>45554</v>
      </c>
      <c r="C1002" s="1">
        <v>69.2308</v>
      </c>
      <c r="D1002" s="1">
        <v>2.211538</v>
      </c>
      <c r="E1002" s="1">
        <v>7.692308</v>
      </c>
      <c r="F1002" s="1">
        <v>9.903846</v>
      </c>
    </row>
    <row r="1003" spans="1:6">
      <c r="A1003" s="1" t="s">
        <v>413</v>
      </c>
      <c r="B1003" s="3">
        <v>45735</v>
      </c>
      <c r="C1003" s="1">
        <v>61.5385</v>
      </c>
      <c r="D1003" s="1">
        <v>1.990385</v>
      </c>
      <c r="E1003" s="1">
        <v>7.692308</v>
      </c>
      <c r="F1003" s="1">
        <v>9.682692</v>
      </c>
    </row>
    <row r="1004" spans="1:6">
      <c r="A1004" s="1" t="s">
        <v>413</v>
      </c>
      <c r="B1004" s="3">
        <v>45919</v>
      </c>
      <c r="C1004" s="1">
        <v>53.8462</v>
      </c>
      <c r="D1004" s="1">
        <v>1.769231</v>
      </c>
      <c r="E1004" s="1">
        <v>7.692308</v>
      </c>
      <c r="F1004" s="1">
        <v>9.461538</v>
      </c>
    </row>
    <row r="1005" spans="1:6">
      <c r="A1005" s="1" t="s">
        <v>413</v>
      </c>
      <c r="B1005" s="3">
        <v>46100</v>
      </c>
      <c r="C1005" s="1">
        <v>46.1538</v>
      </c>
      <c r="D1005" s="1">
        <v>1.548077</v>
      </c>
      <c r="E1005" s="1">
        <v>7.692308</v>
      </c>
      <c r="F1005" s="1">
        <v>9.240385</v>
      </c>
    </row>
    <row r="1006" spans="1:6">
      <c r="A1006" s="1" t="s">
        <v>413</v>
      </c>
      <c r="B1006" s="3">
        <v>46286</v>
      </c>
      <c r="C1006" s="1">
        <v>38.4615</v>
      </c>
      <c r="D1006" s="1">
        <v>1.326923</v>
      </c>
      <c r="E1006" s="1">
        <v>7.692308</v>
      </c>
      <c r="F1006" s="1">
        <v>9.019231</v>
      </c>
    </row>
    <row r="1007" spans="1:6">
      <c r="A1007" s="1" t="s">
        <v>413</v>
      </c>
      <c r="B1007" s="3">
        <v>46465</v>
      </c>
      <c r="C1007" s="1">
        <v>30.7692</v>
      </c>
      <c r="D1007" s="1">
        <v>1.105769</v>
      </c>
      <c r="E1007" s="1">
        <v>7.692308</v>
      </c>
      <c r="F1007" s="1">
        <v>8.798077</v>
      </c>
    </row>
    <row r="1008" spans="1:6">
      <c r="A1008" s="1" t="s">
        <v>413</v>
      </c>
      <c r="B1008" s="3">
        <v>46650</v>
      </c>
      <c r="C1008" s="1">
        <v>23.0769</v>
      </c>
      <c r="D1008" s="1">
        <v>0.884615</v>
      </c>
      <c r="E1008" s="1">
        <v>7.692308</v>
      </c>
      <c r="F1008" s="1">
        <v>8.576923</v>
      </c>
    </row>
    <row r="1009" spans="1:6">
      <c r="A1009" s="1" t="s">
        <v>413</v>
      </c>
      <c r="B1009" s="3">
        <v>46832</v>
      </c>
      <c r="C1009" s="1">
        <v>15.3846</v>
      </c>
      <c r="D1009" s="1">
        <v>0.663461</v>
      </c>
      <c r="E1009" s="1">
        <v>7.692308</v>
      </c>
      <c r="F1009" s="1">
        <v>8.355769</v>
      </c>
    </row>
    <row r="1010" spans="1:6">
      <c r="A1010" s="1" t="s">
        <v>413</v>
      </c>
      <c r="B1010" s="3">
        <v>47015</v>
      </c>
      <c r="C1010" s="1">
        <v>7.6923</v>
      </c>
      <c r="D1010" s="1">
        <v>0.442308</v>
      </c>
      <c r="E1010" s="1">
        <v>7.692308</v>
      </c>
      <c r="F1010" s="1">
        <v>8.134615</v>
      </c>
    </row>
    <row r="1011" spans="1:6">
      <c r="A1011" s="1" t="s">
        <v>413</v>
      </c>
      <c r="B1011" s="3">
        <v>47196</v>
      </c>
      <c r="C1011" s="1">
        <v>0</v>
      </c>
      <c r="D1011" s="1">
        <v>0.221154</v>
      </c>
      <c r="E1011" s="1">
        <v>7.692304</v>
      </c>
      <c r="F1011" s="1">
        <v>7.913457</v>
      </c>
    </row>
    <row r="1012" spans="1:6">
      <c r="A1012" s="1" t="s">
        <v>414</v>
      </c>
      <c r="B1012" s="3">
        <v>42669</v>
      </c>
      <c r="C1012" s="1">
        <v>100</v>
      </c>
      <c r="D1012" s="1">
        <v>1.9375</v>
      </c>
      <c r="E1012" s="1">
        <v>0</v>
      </c>
      <c r="F1012" s="1">
        <v>1.9375</v>
      </c>
    </row>
    <row r="1013" spans="1:6">
      <c r="A1013" s="1" t="s">
        <v>414</v>
      </c>
      <c r="B1013" s="3">
        <v>42761</v>
      </c>
      <c r="C1013" s="1">
        <v>100</v>
      </c>
      <c r="D1013" s="1">
        <v>1.9375</v>
      </c>
      <c r="E1013" s="1">
        <v>0</v>
      </c>
      <c r="F1013" s="1">
        <v>1.9375</v>
      </c>
    </row>
    <row r="1014" spans="1:6">
      <c r="A1014" s="1" t="s">
        <v>414</v>
      </c>
      <c r="B1014" s="3">
        <v>42851</v>
      </c>
      <c r="C1014" s="1">
        <v>100</v>
      </c>
      <c r="D1014" s="1">
        <v>1.9375</v>
      </c>
      <c r="E1014" s="1">
        <v>0</v>
      </c>
      <c r="F1014" s="1">
        <v>1.9375</v>
      </c>
    </row>
    <row r="1015" spans="1:6">
      <c r="A1015" s="1" t="s">
        <v>414</v>
      </c>
      <c r="B1015" s="3">
        <v>42942</v>
      </c>
      <c r="C1015" s="1">
        <v>100</v>
      </c>
      <c r="D1015" s="1">
        <v>1.9375</v>
      </c>
      <c r="E1015" s="1">
        <v>0</v>
      </c>
      <c r="F1015" s="1">
        <v>1.9375</v>
      </c>
    </row>
    <row r="1016" spans="1:6">
      <c r="A1016" s="1" t="s">
        <v>414</v>
      </c>
      <c r="B1016" s="3">
        <v>43034</v>
      </c>
      <c r="C1016" s="1">
        <v>100</v>
      </c>
      <c r="D1016" s="1">
        <v>1.9375</v>
      </c>
      <c r="E1016" s="1">
        <v>0</v>
      </c>
      <c r="F1016" s="1">
        <v>1.9375</v>
      </c>
    </row>
    <row r="1017" spans="1:6">
      <c r="A1017" s="1" t="s">
        <v>414</v>
      </c>
      <c r="B1017" s="3">
        <v>43126</v>
      </c>
      <c r="C1017" s="1">
        <v>100</v>
      </c>
      <c r="D1017" s="1">
        <v>1.9375</v>
      </c>
      <c r="E1017" s="1">
        <v>0</v>
      </c>
      <c r="F1017" s="1">
        <v>1.9375</v>
      </c>
    </row>
    <row r="1018" spans="1:6">
      <c r="A1018" s="1" t="s">
        <v>414</v>
      </c>
      <c r="B1018" s="3">
        <v>43216</v>
      </c>
      <c r="C1018" s="1">
        <v>100</v>
      </c>
      <c r="D1018" s="1">
        <v>1.9375</v>
      </c>
      <c r="E1018" s="1">
        <v>0</v>
      </c>
      <c r="F1018" s="1">
        <v>1.9375</v>
      </c>
    </row>
    <row r="1019" spans="1:6">
      <c r="A1019" s="1" t="s">
        <v>414</v>
      </c>
      <c r="B1019" s="3">
        <v>43307</v>
      </c>
      <c r="C1019" s="1">
        <v>100</v>
      </c>
      <c r="D1019" s="1">
        <v>1.9375</v>
      </c>
      <c r="E1019" s="1">
        <v>0</v>
      </c>
      <c r="F1019" s="1">
        <v>1.9375</v>
      </c>
    </row>
    <row r="1020" spans="1:6">
      <c r="A1020" s="1" t="s">
        <v>414</v>
      </c>
      <c r="B1020" s="3">
        <v>43399</v>
      </c>
      <c r="C1020" s="1">
        <v>100</v>
      </c>
      <c r="D1020" s="1">
        <v>1.9375</v>
      </c>
      <c r="E1020" s="1">
        <v>0</v>
      </c>
      <c r="F1020" s="1">
        <v>1.9375</v>
      </c>
    </row>
    <row r="1021" spans="1:6">
      <c r="A1021" s="1" t="s">
        <v>414</v>
      </c>
      <c r="B1021" s="3">
        <v>43493</v>
      </c>
      <c r="C1021" s="1">
        <v>100</v>
      </c>
      <c r="D1021" s="1">
        <v>1.9375</v>
      </c>
      <c r="E1021" s="1">
        <v>0</v>
      </c>
      <c r="F1021" s="1">
        <v>1.9375</v>
      </c>
    </row>
    <row r="1022" spans="1:6">
      <c r="A1022" s="1" t="s">
        <v>414</v>
      </c>
      <c r="B1022" s="3">
        <v>43581</v>
      </c>
      <c r="C1022" s="1">
        <v>100</v>
      </c>
      <c r="D1022" s="1">
        <v>1.9375</v>
      </c>
      <c r="E1022" s="1">
        <v>0</v>
      </c>
      <c r="F1022" s="1">
        <v>1.9375</v>
      </c>
    </row>
    <row r="1023" spans="1:6">
      <c r="A1023" s="1" t="s">
        <v>414</v>
      </c>
      <c r="B1023" s="3">
        <v>43672</v>
      </c>
      <c r="C1023" s="1">
        <v>100</v>
      </c>
      <c r="D1023" s="1">
        <v>1.9375</v>
      </c>
      <c r="E1023" s="1">
        <v>0</v>
      </c>
      <c r="F1023" s="1">
        <v>1.9375</v>
      </c>
    </row>
    <row r="1024" spans="1:6">
      <c r="A1024" s="1" t="s">
        <v>414</v>
      </c>
      <c r="B1024" s="3">
        <v>43766</v>
      </c>
      <c r="C1024" s="1">
        <v>100</v>
      </c>
      <c r="D1024" s="1">
        <v>1.9375</v>
      </c>
      <c r="E1024" s="1">
        <v>0</v>
      </c>
      <c r="F1024" s="1">
        <v>1.9375</v>
      </c>
    </row>
    <row r="1025" spans="1:6">
      <c r="A1025" s="1" t="s">
        <v>414</v>
      </c>
      <c r="B1025" s="3">
        <v>43857</v>
      </c>
      <c r="C1025" s="1">
        <v>100</v>
      </c>
      <c r="D1025" s="1">
        <v>1.9375</v>
      </c>
      <c r="E1025" s="1">
        <v>0</v>
      </c>
      <c r="F1025" s="1">
        <v>1.9375</v>
      </c>
    </row>
    <row r="1026" spans="1:6">
      <c r="A1026" s="1" t="s">
        <v>414</v>
      </c>
      <c r="B1026" s="3">
        <v>43948</v>
      </c>
      <c r="C1026" s="1">
        <v>100</v>
      </c>
      <c r="D1026" s="1">
        <v>1.9375</v>
      </c>
      <c r="E1026" s="1">
        <v>0</v>
      </c>
      <c r="F1026" s="1">
        <v>1.9375</v>
      </c>
    </row>
    <row r="1027" spans="1:6">
      <c r="A1027" s="1" t="s">
        <v>414</v>
      </c>
      <c r="B1027" s="3">
        <v>44039</v>
      </c>
      <c r="C1027" s="1">
        <v>100</v>
      </c>
      <c r="D1027" s="1">
        <v>1.9375</v>
      </c>
      <c r="E1027" s="1">
        <v>0</v>
      </c>
      <c r="F1027" s="1">
        <v>1.9375</v>
      </c>
    </row>
    <row r="1028" spans="1:6">
      <c r="A1028" s="1" t="s">
        <v>414</v>
      </c>
      <c r="B1028" s="3">
        <v>44130</v>
      </c>
      <c r="C1028" s="1">
        <v>95.8333</v>
      </c>
      <c r="D1028" s="1">
        <v>1.9375</v>
      </c>
      <c r="E1028" s="1">
        <v>4.16667</v>
      </c>
      <c r="F1028" s="1">
        <v>6.10417</v>
      </c>
    </row>
    <row r="1029" spans="1:6">
      <c r="A1029" s="1" t="s">
        <v>414</v>
      </c>
      <c r="B1029" s="3">
        <v>44222</v>
      </c>
      <c r="C1029" s="1">
        <v>95.3333</v>
      </c>
      <c r="D1029" s="1">
        <v>1.734583</v>
      </c>
      <c r="E1029" s="1">
        <v>0.5</v>
      </c>
      <c r="F1029" s="1">
        <v>2.234583</v>
      </c>
    </row>
    <row r="1030" spans="1:6">
      <c r="A1030" s="1" t="s">
        <v>414</v>
      </c>
      <c r="B1030" s="3">
        <v>44312</v>
      </c>
      <c r="C1030" s="1">
        <v>94.8333</v>
      </c>
      <c r="D1030" s="1">
        <v>1.725533</v>
      </c>
      <c r="E1030" s="1">
        <v>0.5</v>
      </c>
      <c r="F1030" s="1">
        <v>2.225533</v>
      </c>
    </row>
    <row r="1031" spans="1:6">
      <c r="A1031" s="1" t="s">
        <v>414</v>
      </c>
      <c r="B1031" s="3">
        <v>44403</v>
      </c>
      <c r="C1031" s="1">
        <v>94.3333</v>
      </c>
      <c r="D1031" s="1">
        <v>1.716483</v>
      </c>
      <c r="E1031" s="1">
        <v>0.5</v>
      </c>
      <c r="F1031" s="1">
        <v>2.216483</v>
      </c>
    </row>
    <row r="1032" spans="1:6">
      <c r="A1032" s="1" t="s">
        <v>414</v>
      </c>
      <c r="B1032" s="3">
        <v>44495</v>
      </c>
      <c r="C1032" s="1">
        <v>93.8333</v>
      </c>
      <c r="D1032" s="1">
        <v>1.707433</v>
      </c>
      <c r="E1032" s="1">
        <v>0.5</v>
      </c>
      <c r="F1032" s="1">
        <v>2.207433</v>
      </c>
    </row>
    <row r="1033" spans="1:6">
      <c r="A1033" s="1" t="s">
        <v>414</v>
      </c>
      <c r="B1033" s="3">
        <v>44587</v>
      </c>
      <c r="C1033" s="1">
        <v>92.3083</v>
      </c>
      <c r="D1033" s="1">
        <v>1.818021</v>
      </c>
      <c r="E1033" s="1">
        <v>1.525</v>
      </c>
      <c r="F1033" s="1">
        <v>3.343021</v>
      </c>
    </row>
    <row r="1034" spans="1:6">
      <c r="A1034" s="1" t="s">
        <v>414</v>
      </c>
      <c r="B1034" s="3">
        <v>44677</v>
      </c>
      <c r="C1034" s="1">
        <v>90.7833</v>
      </c>
      <c r="D1034" s="1">
        <v>1.788474</v>
      </c>
      <c r="E1034" s="1">
        <v>1.525</v>
      </c>
      <c r="F1034" s="1">
        <v>3.313474</v>
      </c>
    </row>
    <row r="1035" spans="1:6">
      <c r="A1035" s="1" t="s">
        <v>414</v>
      </c>
      <c r="B1035" s="3">
        <v>44768</v>
      </c>
      <c r="C1035" s="1">
        <v>89.2583</v>
      </c>
      <c r="D1035" s="1">
        <v>1.758927</v>
      </c>
      <c r="E1035" s="1">
        <v>1.525</v>
      </c>
      <c r="F1035" s="1">
        <v>3.283927</v>
      </c>
    </row>
    <row r="1036" spans="1:6">
      <c r="A1036" s="1" t="s">
        <v>414</v>
      </c>
      <c r="B1036" s="3">
        <v>44860</v>
      </c>
      <c r="C1036" s="1">
        <v>87.7333</v>
      </c>
      <c r="D1036" s="1">
        <v>1.72938</v>
      </c>
      <c r="E1036" s="1">
        <v>1.525</v>
      </c>
      <c r="F1036" s="1">
        <v>3.25438</v>
      </c>
    </row>
    <row r="1037" spans="1:6">
      <c r="A1037" s="1" t="s">
        <v>414</v>
      </c>
      <c r="B1037" s="3">
        <v>44952</v>
      </c>
      <c r="C1037" s="1">
        <v>84.7333</v>
      </c>
      <c r="D1037" s="1">
        <v>1.699833</v>
      </c>
      <c r="E1037" s="1">
        <v>3</v>
      </c>
      <c r="F1037" s="1">
        <v>4.699833</v>
      </c>
    </row>
    <row r="1038" spans="1:6">
      <c r="A1038" s="1" t="s">
        <v>414</v>
      </c>
      <c r="B1038" s="3">
        <v>45042</v>
      </c>
      <c r="C1038" s="1">
        <v>81.7333</v>
      </c>
      <c r="D1038" s="1">
        <v>1.641708</v>
      </c>
      <c r="E1038" s="1">
        <v>3</v>
      </c>
      <c r="F1038" s="1">
        <v>4.641708</v>
      </c>
    </row>
    <row r="1039" spans="1:6">
      <c r="A1039" s="1" t="s">
        <v>414</v>
      </c>
      <c r="B1039" s="3">
        <v>45133</v>
      </c>
      <c r="C1039" s="1">
        <v>78.1743</v>
      </c>
      <c r="D1039" s="1">
        <v>1.583583</v>
      </c>
      <c r="E1039" s="1">
        <v>3.559078</v>
      </c>
      <c r="F1039" s="1">
        <v>5.142662</v>
      </c>
    </row>
    <row r="1040" spans="1:6">
      <c r="A1040" s="1" t="s">
        <v>414</v>
      </c>
      <c r="B1040" s="3">
        <v>45225</v>
      </c>
      <c r="C1040" s="1">
        <v>74.7445</v>
      </c>
      <c r="D1040" s="1">
        <v>1.514626</v>
      </c>
      <c r="E1040" s="1">
        <v>3.429783</v>
      </c>
      <c r="F1040" s="1">
        <v>4.944409</v>
      </c>
    </row>
    <row r="1041" spans="1:6">
      <c r="A1041" s="1" t="s">
        <v>414</v>
      </c>
      <c r="B1041" s="3">
        <v>45317</v>
      </c>
      <c r="C1041" s="1">
        <v>70.8945</v>
      </c>
      <c r="D1041" s="1">
        <v>1.448174</v>
      </c>
      <c r="E1041" s="1">
        <v>3.85</v>
      </c>
      <c r="F1041" s="1">
        <v>5.298174</v>
      </c>
    </row>
    <row r="1042" spans="1:6">
      <c r="A1042" s="1" t="s">
        <v>414</v>
      </c>
      <c r="B1042" s="3">
        <v>45408</v>
      </c>
      <c r="C1042" s="1">
        <v>66.7356</v>
      </c>
      <c r="D1042" s="1">
        <v>1.37358</v>
      </c>
      <c r="E1042" s="1">
        <v>4.158898</v>
      </c>
      <c r="F1042" s="1">
        <v>5.532478</v>
      </c>
    </row>
    <row r="1043" spans="1:6">
      <c r="A1043" s="1" t="s">
        <v>414</v>
      </c>
      <c r="B1043" s="3">
        <v>45499</v>
      </c>
      <c r="C1043" s="1">
        <v>62.8856</v>
      </c>
      <c r="D1043" s="1">
        <v>1.293002</v>
      </c>
      <c r="E1043" s="1">
        <v>3.85</v>
      </c>
      <c r="F1043" s="1">
        <v>5.143002</v>
      </c>
    </row>
    <row r="1044" spans="1:6">
      <c r="A1044" s="1" t="s">
        <v>414</v>
      </c>
      <c r="B1044" s="3">
        <v>45593</v>
      </c>
      <c r="C1044" s="1">
        <v>58.8786</v>
      </c>
      <c r="D1044" s="1">
        <v>1.218408</v>
      </c>
      <c r="E1044" s="1">
        <v>4.006984</v>
      </c>
      <c r="F1044" s="1">
        <v>5.225392</v>
      </c>
    </row>
    <row r="1045" spans="1:6">
      <c r="A1045" s="1" t="s">
        <v>414</v>
      </c>
      <c r="B1045" s="3">
        <v>45684</v>
      </c>
      <c r="C1045" s="1">
        <v>54.9351</v>
      </c>
      <c r="D1045" s="1">
        <v>1.140773</v>
      </c>
      <c r="E1045" s="1">
        <v>3.943452</v>
      </c>
      <c r="F1045" s="1">
        <v>5.084225</v>
      </c>
    </row>
    <row r="1046" spans="1:6">
      <c r="A1046" s="1" t="s">
        <v>414</v>
      </c>
      <c r="B1046" s="3">
        <v>45775</v>
      </c>
      <c r="C1046" s="1">
        <v>51.0851</v>
      </c>
      <c r="D1046" s="1">
        <v>1.064368</v>
      </c>
      <c r="E1046" s="1">
        <v>3.85</v>
      </c>
      <c r="F1046" s="1">
        <v>4.914368</v>
      </c>
    </row>
    <row r="1047" spans="1:6">
      <c r="A1047" s="1" t="s">
        <v>414</v>
      </c>
      <c r="B1047" s="3">
        <v>45866</v>
      </c>
      <c r="C1047" s="1">
        <v>47.2351</v>
      </c>
      <c r="D1047" s="1">
        <v>0.989774</v>
      </c>
      <c r="E1047" s="1">
        <v>3.85</v>
      </c>
      <c r="F1047" s="1">
        <v>4.839774</v>
      </c>
    </row>
    <row r="1048" spans="1:6">
      <c r="A1048" s="1" t="s">
        <v>414</v>
      </c>
      <c r="B1048" s="3">
        <v>45957</v>
      </c>
      <c r="C1048" s="1">
        <v>43.3851</v>
      </c>
      <c r="D1048" s="1">
        <v>0.915181</v>
      </c>
      <c r="E1048" s="1">
        <v>3.85</v>
      </c>
      <c r="F1048" s="1">
        <v>4.765181</v>
      </c>
    </row>
    <row r="1049" spans="1:6">
      <c r="A1049" s="1" t="s">
        <v>414</v>
      </c>
      <c r="B1049" s="3">
        <v>46048</v>
      </c>
      <c r="C1049" s="1">
        <v>39.5351</v>
      </c>
      <c r="D1049" s="1">
        <v>0.840587</v>
      </c>
      <c r="E1049" s="1">
        <v>3.85</v>
      </c>
      <c r="F1049" s="1">
        <v>4.690587</v>
      </c>
    </row>
    <row r="1050" spans="1:6">
      <c r="A1050" s="1" t="s">
        <v>414</v>
      </c>
      <c r="B1050" s="3">
        <v>46139</v>
      </c>
      <c r="C1050" s="1">
        <v>35.6851</v>
      </c>
      <c r="D1050" s="1">
        <v>0.765993</v>
      </c>
      <c r="E1050" s="1">
        <v>3.85</v>
      </c>
      <c r="F1050" s="1">
        <v>4.615993</v>
      </c>
    </row>
    <row r="1051" spans="1:6">
      <c r="A1051" s="1" t="s">
        <v>414</v>
      </c>
      <c r="B1051" s="3">
        <v>46230</v>
      </c>
      <c r="C1051" s="1">
        <v>31.8351</v>
      </c>
      <c r="D1051" s="1">
        <v>0.691399</v>
      </c>
      <c r="E1051" s="1">
        <v>3.85</v>
      </c>
      <c r="F1051" s="1">
        <v>4.541399</v>
      </c>
    </row>
    <row r="1052" spans="1:6">
      <c r="A1052" s="1" t="s">
        <v>414</v>
      </c>
      <c r="B1052" s="3">
        <v>46321</v>
      </c>
      <c r="C1052" s="1">
        <v>27.9851</v>
      </c>
      <c r="D1052" s="1">
        <v>0.616806</v>
      </c>
      <c r="E1052" s="1">
        <v>3.85</v>
      </c>
      <c r="F1052" s="1">
        <v>4.466806</v>
      </c>
    </row>
    <row r="1053" spans="1:6">
      <c r="A1053" s="1" t="s">
        <v>414</v>
      </c>
      <c r="B1053" s="3">
        <v>46413</v>
      </c>
      <c r="C1053" s="1">
        <v>24.1351</v>
      </c>
      <c r="D1053" s="1">
        <v>0.542212</v>
      </c>
      <c r="E1053" s="1">
        <v>3.85</v>
      </c>
      <c r="F1053" s="1">
        <v>4.392212</v>
      </c>
    </row>
    <row r="1054" spans="1:6">
      <c r="A1054" s="1" t="s">
        <v>414</v>
      </c>
      <c r="B1054" s="3">
        <v>46503</v>
      </c>
      <c r="C1054" s="1">
        <v>20.2851</v>
      </c>
      <c r="D1054" s="1">
        <v>0.467618</v>
      </c>
      <c r="E1054" s="1">
        <v>3.85</v>
      </c>
      <c r="F1054" s="1">
        <v>4.317618</v>
      </c>
    </row>
    <row r="1055" spans="1:6">
      <c r="A1055" s="1" t="s">
        <v>414</v>
      </c>
      <c r="B1055" s="3">
        <v>46594</v>
      </c>
      <c r="C1055" s="1">
        <v>16.4351</v>
      </c>
      <c r="D1055" s="1">
        <v>0.393024</v>
      </c>
      <c r="E1055" s="1">
        <v>3.85</v>
      </c>
      <c r="F1055" s="1">
        <v>4.243024</v>
      </c>
    </row>
    <row r="1056" spans="1:6">
      <c r="A1056" s="1" t="s">
        <v>414</v>
      </c>
      <c r="B1056" s="3">
        <v>46686</v>
      </c>
      <c r="C1056" s="1">
        <v>12.5851</v>
      </c>
      <c r="D1056" s="1">
        <v>0.318431</v>
      </c>
      <c r="E1056" s="1">
        <v>3.85</v>
      </c>
      <c r="F1056" s="1">
        <v>4.168431</v>
      </c>
    </row>
    <row r="1057" spans="1:6">
      <c r="A1057" s="1" t="s">
        <v>414</v>
      </c>
      <c r="B1057" s="3">
        <v>46778</v>
      </c>
      <c r="C1057" s="1">
        <v>9.0851</v>
      </c>
      <c r="D1057" s="1">
        <v>0.243837</v>
      </c>
      <c r="E1057" s="1">
        <v>3.5</v>
      </c>
      <c r="F1057" s="1">
        <v>3.743837</v>
      </c>
    </row>
    <row r="1058" spans="1:6">
      <c r="A1058" s="1" t="s">
        <v>414</v>
      </c>
      <c r="B1058" s="3">
        <v>46869</v>
      </c>
      <c r="C1058" s="1">
        <v>6.2351</v>
      </c>
      <c r="D1058" s="1">
        <v>0.176024</v>
      </c>
      <c r="E1058" s="1">
        <v>2.85</v>
      </c>
      <c r="F1058" s="1">
        <v>3.026024</v>
      </c>
    </row>
    <row r="1059" spans="1:6">
      <c r="A1059" s="1" t="s">
        <v>414</v>
      </c>
      <c r="B1059" s="3">
        <v>46960</v>
      </c>
      <c r="C1059" s="1">
        <v>3.3851</v>
      </c>
      <c r="D1059" s="1">
        <v>0.120806</v>
      </c>
      <c r="E1059" s="1">
        <v>2.85</v>
      </c>
      <c r="F1059" s="1">
        <v>2.970806</v>
      </c>
    </row>
    <row r="1060" spans="1:6">
      <c r="A1060" s="1" t="s">
        <v>414</v>
      </c>
      <c r="B1060" s="3">
        <v>47052</v>
      </c>
      <c r="C1060" s="1">
        <v>0.5351</v>
      </c>
      <c r="D1060" s="1">
        <v>0.065587</v>
      </c>
      <c r="E1060" s="1">
        <v>2.85</v>
      </c>
      <c r="F1060" s="1">
        <v>2.915587</v>
      </c>
    </row>
    <row r="1061" spans="1:6">
      <c r="A1061" s="1" t="s">
        <v>414</v>
      </c>
      <c r="B1061" s="3">
        <v>47144</v>
      </c>
      <c r="C1061" s="1">
        <v>0.1876</v>
      </c>
      <c r="D1061" s="1">
        <v>0.010368</v>
      </c>
      <c r="E1061" s="1">
        <v>0.3475</v>
      </c>
      <c r="F1061" s="1">
        <v>0.357868</v>
      </c>
    </row>
    <row r="1062" spans="1:6">
      <c r="A1062" s="1" t="s">
        <v>414</v>
      </c>
      <c r="B1062" s="3">
        <v>47234</v>
      </c>
      <c r="C1062" s="1">
        <v>0</v>
      </c>
      <c r="D1062" s="1">
        <v>0.003635</v>
      </c>
      <c r="E1062" s="1">
        <v>0.187635</v>
      </c>
      <c r="F1062" s="1">
        <v>0.19127</v>
      </c>
    </row>
    <row r="1063" spans="1:6">
      <c r="A1063" s="1" t="s">
        <v>414</v>
      </c>
      <c r="B1063" s="3">
        <v>47325</v>
      </c>
      <c r="C1063" s="1">
        <v>0</v>
      </c>
      <c r="D1063" s="1">
        <v>0</v>
      </c>
      <c r="E1063" s="1">
        <v>0</v>
      </c>
      <c r="F1063" s="1">
        <v>0</v>
      </c>
    </row>
    <row r="1064" spans="1:6">
      <c r="A1064" s="1" t="s">
        <v>415</v>
      </c>
      <c r="B1064" s="3">
        <v>42933</v>
      </c>
      <c r="C1064" s="1">
        <v>100</v>
      </c>
      <c r="D1064" s="1">
        <v>2.2375</v>
      </c>
      <c r="E1064" s="1">
        <v>0</v>
      </c>
      <c r="F1064" s="1">
        <v>2.2375</v>
      </c>
    </row>
    <row r="1065" spans="1:6">
      <c r="A1065" s="1" t="s">
        <v>415</v>
      </c>
      <c r="B1065" s="3">
        <v>43025</v>
      </c>
      <c r="C1065" s="1">
        <v>100</v>
      </c>
      <c r="D1065" s="1">
        <v>2.2375</v>
      </c>
      <c r="E1065" s="1">
        <v>0</v>
      </c>
      <c r="F1065" s="1">
        <v>2.2375</v>
      </c>
    </row>
    <row r="1066" spans="1:6">
      <c r="A1066" s="1" t="s">
        <v>415</v>
      </c>
      <c r="B1066" s="3">
        <v>43117</v>
      </c>
      <c r="C1066" s="1">
        <v>100</v>
      </c>
      <c r="D1066" s="1">
        <v>2.2375</v>
      </c>
      <c r="E1066" s="1">
        <v>0</v>
      </c>
      <c r="F1066" s="1">
        <v>2.2375</v>
      </c>
    </row>
    <row r="1067" spans="1:6">
      <c r="A1067" s="1" t="s">
        <v>415</v>
      </c>
      <c r="B1067" s="3">
        <v>43207</v>
      </c>
      <c r="C1067" s="1">
        <v>100</v>
      </c>
      <c r="D1067" s="1">
        <v>2.2375</v>
      </c>
      <c r="E1067" s="1">
        <v>0</v>
      </c>
      <c r="F1067" s="1">
        <v>2.2375</v>
      </c>
    </row>
    <row r="1068" spans="1:6">
      <c r="A1068" s="1" t="s">
        <v>415</v>
      </c>
      <c r="B1068" s="3">
        <v>43298</v>
      </c>
      <c r="C1068" s="1">
        <v>100</v>
      </c>
      <c r="D1068" s="1">
        <v>2.2375</v>
      </c>
      <c r="E1068" s="1">
        <v>0</v>
      </c>
      <c r="F1068" s="1">
        <v>2.2375</v>
      </c>
    </row>
    <row r="1069" spans="1:6">
      <c r="A1069" s="1" t="s">
        <v>415</v>
      </c>
      <c r="B1069" s="3">
        <v>43390</v>
      </c>
      <c r="C1069" s="1">
        <v>100</v>
      </c>
      <c r="D1069" s="1">
        <v>2.2375</v>
      </c>
      <c r="E1069" s="1">
        <v>0</v>
      </c>
      <c r="F1069" s="1">
        <v>2.2375</v>
      </c>
    </row>
    <row r="1070" spans="1:6">
      <c r="A1070" s="1" t="s">
        <v>415</v>
      </c>
      <c r="B1070" s="3">
        <v>43482</v>
      </c>
      <c r="C1070" s="1">
        <v>100</v>
      </c>
      <c r="D1070" s="1">
        <v>2.2375</v>
      </c>
      <c r="E1070" s="1">
        <v>0</v>
      </c>
      <c r="F1070" s="1">
        <v>2.2375</v>
      </c>
    </row>
    <row r="1071" spans="1:6">
      <c r="A1071" s="1" t="s">
        <v>415</v>
      </c>
      <c r="B1071" s="3">
        <v>43572</v>
      </c>
      <c r="C1071" s="1">
        <v>97.5</v>
      </c>
      <c r="D1071" s="1">
        <v>2.2375</v>
      </c>
      <c r="E1071" s="1">
        <v>2.5</v>
      </c>
      <c r="F1071" s="1">
        <v>4.7375</v>
      </c>
    </row>
    <row r="1072" spans="1:6">
      <c r="A1072" s="1" t="s">
        <v>415</v>
      </c>
      <c r="B1072" s="3">
        <v>43663</v>
      </c>
      <c r="C1072" s="1">
        <v>95</v>
      </c>
      <c r="D1072" s="1">
        <v>2.181562</v>
      </c>
      <c r="E1072" s="1">
        <v>2.5</v>
      </c>
      <c r="F1072" s="1">
        <v>4.681563</v>
      </c>
    </row>
    <row r="1073" spans="1:6">
      <c r="A1073" s="1" t="s">
        <v>415</v>
      </c>
      <c r="B1073" s="3">
        <v>43755</v>
      </c>
      <c r="C1073" s="1">
        <v>92.5</v>
      </c>
      <c r="D1073" s="1">
        <v>2.125625</v>
      </c>
      <c r="E1073" s="1">
        <v>2.5</v>
      </c>
      <c r="F1073" s="1">
        <v>4.625625</v>
      </c>
    </row>
    <row r="1074" spans="1:6">
      <c r="A1074" s="1" t="s">
        <v>415</v>
      </c>
      <c r="B1074" s="3">
        <v>43847</v>
      </c>
      <c r="C1074" s="1">
        <v>90</v>
      </c>
      <c r="D1074" s="1">
        <v>2.069688</v>
      </c>
      <c r="E1074" s="1">
        <v>2.5</v>
      </c>
      <c r="F1074" s="1">
        <v>4.569688</v>
      </c>
    </row>
    <row r="1075" spans="1:6">
      <c r="A1075" s="1" t="s">
        <v>415</v>
      </c>
      <c r="B1075" s="3">
        <v>43938</v>
      </c>
      <c r="C1075" s="1">
        <v>87.5</v>
      </c>
      <c r="D1075" s="1">
        <v>2.01375</v>
      </c>
      <c r="E1075" s="1">
        <v>2.5</v>
      </c>
      <c r="F1075" s="1">
        <v>4.51375</v>
      </c>
    </row>
    <row r="1076" spans="1:6">
      <c r="A1076" s="1" t="s">
        <v>415</v>
      </c>
      <c r="B1076" s="3">
        <v>44029</v>
      </c>
      <c r="C1076" s="1">
        <v>85</v>
      </c>
      <c r="D1076" s="1">
        <v>1.957812</v>
      </c>
      <c r="E1076" s="1">
        <v>2.5</v>
      </c>
      <c r="F1076" s="1">
        <v>4.457812</v>
      </c>
    </row>
    <row r="1077" spans="1:6">
      <c r="A1077" s="1" t="s">
        <v>415</v>
      </c>
      <c r="B1077" s="3">
        <v>44123</v>
      </c>
      <c r="C1077" s="1">
        <v>82.5</v>
      </c>
      <c r="D1077" s="1">
        <v>1.901875</v>
      </c>
      <c r="E1077" s="1">
        <v>2.5</v>
      </c>
      <c r="F1077" s="1">
        <v>4.401875</v>
      </c>
    </row>
    <row r="1078" spans="1:6">
      <c r="A1078" s="1" t="s">
        <v>415</v>
      </c>
      <c r="B1078" s="3">
        <v>44214</v>
      </c>
      <c r="C1078" s="1">
        <v>80</v>
      </c>
      <c r="D1078" s="1">
        <v>1.845937</v>
      </c>
      <c r="E1078" s="1">
        <v>2.5</v>
      </c>
      <c r="F1078" s="1">
        <v>4.345937</v>
      </c>
    </row>
    <row r="1079" spans="1:6">
      <c r="A1079" s="1" t="s">
        <v>415</v>
      </c>
      <c r="B1079" s="3">
        <v>44305</v>
      </c>
      <c r="C1079" s="1">
        <v>77.5</v>
      </c>
      <c r="D1079" s="1">
        <v>1.79</v>
      </c>
      <c r="E1079" s="1">
        <v>2.5</v>
      </c>
      <c r="F1079" s="1">
        <v>4.29</v>
      </c>
    </row>
    <row r="1080" spans="1:6">
      <c r="A1080" s="1" t="s">
        <v>415</v>
      </c>
      <c r="B1080" s="3">
        <v>44396</v>
      </c>
      <c r="C1080" s="1">
        <v>75</v>
      </c>
      <c r="D1080" s="1">
        <v>1.734062</v>
      </c>
      <c r="E1080" s="1">
        <v>2.5</v>
      </c>
      <c r="F1080" s="1">
        <v>4.234063</v>
      </c>
    </row>
    <row r="1081" spans="1:6">
      <c r="A1081" s="1" t="s">
        <v>415</v>
      </c>
      <c r="B1081" s="3">
        <v>44487</v>
      </c>
      <c r="C1081" s="1">
        <v>72.5</v>
      </c>
      <c r="D1081" s="1">
        <v>1.678125</v>
      </c>
      <c r="E1081" s="1">
        <v>2.5</v>
      </c>
      <c r="F1081" s="1">
        <v>4.178125</v>
      </c>
    </row>
    <row r="1082" spans="1:6">
      <c r="A1082" s="1" t="s">
        <v>415</v>
      </c>
      <c r="B1082" s="3">
        <v>44578</v>
      </c>
      <c r="C1082" s="1">
        <v>70</v>
      </c>
      <c r="D1082" s="1">
        <v>1.622188</v>
      </c>
      <c r="E1082" s="1">
        <v>2.5</v>
      </c>
      <c r="F1082" s="1">
        <v>4.122187</v>
      </c>
    </row>
    <row r="1083" spans="1:6">
      <c r="A1083" s="1" t="s">
        <v>415</v>
      </c>
      <c r="B1083" s="3">
        <v>44669</v>
      </c>
      <c r="C1083" s="1">
        <v>67</v>
      </c>
      <c r="D1083" s="1">
        <v>1.56625</v>
      </c>
      <c r="E1083" s="1">
        <v>3</v>
      </c>
      <c r="F1083" s="1">
        <v>4.56625</v>
      </c>
    </row>
    <row r="1084" spans="1:6">
      <c r="A1084" s="1" t="s">
        <v>415</v>
      </c>
      <c r="B1084" s="3">
        <v>44760</v>
      </c>
      <c r="C1084" s="1">
        <v>64</v>
      </c>
      <c r="D1084" s="1">
        <v>1.499125</v>
      </c>
      <c r="E1084" s="1">
        <v>3</v>
      </c>
      <c r="F1084" s="1">
        <v>4.499125</v>
      </c>
    </row>
    <row r="1085" spans="1:6">
      <c r="A1085" s="1" t="s">
        <v>415</v>
      </c>
      <c r="B1085" s="3">
        <v>44851</v>
      </c>
      <c r="C1085" s="1">
        <v>61</v>
      </c>
      <c r="D1085" s="1">
        <v>1.432</v>
      </c>
      <c r="E1085" s="1">
        <v>3</v>
      </c>
      <c r="F1085" s="1">
        <v>4.432</v>
      </c>
    </row>
    <row r="1086" spans="1:6">
      <c r="A1086" s="1" t="s">
        <v>415</v>
      </c>
      <c r="B1086" s="3">
        <v>44943</v>
      </c>
      <c r="C1086" s="1">
        <v>58</v>
      </c>
      <c r="D1086" s="1">
        <v>1.364875</v>
      </c>
      <c r="E1086" s="1">
        <v>3</v>
      </c>
      <c r="F1086" s="1">
        <v>4.364875</v>
      </c>
    </row>
    <row r="1087" spans="1:6">
      <c r="A1087" s="1" t="s">
        <v>415</v>
      </c>
      <c r="B1087" s="3">
        <v>45033</v>
      </c>
      <c r="C1087" s="1">
        <v>55</v>
      </c>
      <c r="D1087" s="1">
        <v>1.29775</v>
      </c>
      <c r="E1087" s="1">
        <v>3</v>
      </c>
      <c r="F1087" s="1">
        <v>4.29775</v>
      </c>
    </row>
    <row r="1088" spans="1:6">
      <c r="A1088" s="1" t="s">
        <v>415</v>
      </c>
      <c r="B1088" s="3">
        <v>45124</v>
      </c>
      <c r="C1088" s="1">
        <v>52</v>
      </c>
      <c r="D1088" s="1">
        <v>1.230625</v>
      </c>
      <c r="E1088" s="1">
        <v>3</v>
      </c>
      <c r="F1088" s="1">
        <v>4.230625</v>
      </c>
    </row>
    <row r="1089" spans="1:6">
      <c r="A1089" s="1" t="s">
        <v>415</v>
      </c>
      <c r="B1089" s="3">
        <v>45216</v>
      </c>
      <c r="C1089" s="1">
        <v>49</v>
      </c>
      <c r="D1089" s="1">
        <v>1.1635</v>
      </c>
      <c r="E1089" s="1">
        <v>3</v>
      </c>
      <c r="F1089" s="1">
        <v>4.1635</v>
      </c>
    </row>
    <row r="1090" spans="1:6">
      <c r="A1090" s="1" t="s">
        <v>415</v>
      </c>
      <c r="B1090" s="3">
        <v>45313</v>
      </c>
      <c r="C1090" s="1">
        <v>49</v>
      </c>
      <c r="D1090" s="1">
        <v>1.145103</v>
      </c>
      <c r="E1090" s="1">
        <v>0</v>
      </c>
      <c r="F1090" s="1">
        <v>1.145103</v>
      </c>
    </row>
    <row r="1091" spans="1:6">
      <c r="A1091" s="1" t="s">
        <v>415</v>
      </c>
      <c r="B1091" s="3">
        <v>45404</v>
      </c>
      <c r="C1091" s="1">
        <v>49</v>
      </c>
      <c r="D1091" s="1">
        <v>1.096375</v>
      </c>
      <c r="E1091" s="1">
        <v>0</v>
      </c>
      <c r="F1091" s="1">
        <v>1.096375</v>
      </c>
    </row>
    <row r="1092" spans="1:6">
      <c r="A1092" s="1" t="s">
        <v>415</v>
      </c>
      <c r="B1092" s="3">
        <v>45495</v>
      </c>
      <c r="C1092" s="1">
        <v>49</v>
      </c>
      <c r="D1092" s="1">
        <v>1.096375</v>
      </c>
      <c r="E1092" s="1">
        <v>0</v>
      </c>
      <c r="F1092" s="1">
        <v>1.096375</v>
      </c>
    </row>
    <row r="1093" spans="1:6">
      <c r="A1093" s="1" t="s">
        <v>415</v>
      </c>
      <c r="B1093" s="3">
        <v>45586</v>
      </c>
      <c r="C1093" s="1">
        <v>49</v>
      </c>
      <c r="D1093" s="1">
        <v>1.096375</v>
      </c>
      <c r="E1093" s="1">
        <v>0</v>
      </c>
      <c r="F1093" s="1">
        <v>1.096375</v>
      </c>
    </row>
    <row r="1094" spans="1:6">
      <c r="A1094" s="1" t="s">
        <v>415</v>
      </c>
      <c r="B1094" s="3">
        <v>45678</v>
      </c>
      <c r="C1094" s="1">
        <v>49</v>
      </c>
      <c r="D1094" s="1">
        <v>1.096375</v>
      </c>
      <c r="E1094" s="1">
        <v>0</v>
      </c>
      <c r="F1094" s="1">
        <v>1.096375</v>
      </c>
    </row>
    <row r="1095" spans="1:6">
      <c r="A1095" s="1" t="s">
        <v>415</v>
      </c>
      <c r="B1095" s="3">
        <v>45768</v>
      </c>
      <c r="C1095" s="1">
        <v>47.04</v>
      </c>
      <c r="D1095" s="1">
        <v>1.096375</v>
      </c>
      <c r="E1095" s="1">
        <v>1.96</v>
      </c>
      <c r="F1095" s="1">
        <v>3.056375</v>
      </c>
    </row>
    <row r="1096" spans="1:6">
      <c r="A1096" s="1" t="s">
        <v>415</v>
      </c>
      <c r="B1096" s="3">
        <v>45859</v>
      </c>
      <c r="C1096" s="1">
        <v>45.08</v>
      </c>
      <c r="D1096" s="1">
        <v>1.05252</v>
      </c>
      <c r="E1096" s="1">
        <v>1.96</v>
      </c>
      <c r="F1096" s="1">
        <v>3.01252</v>
      </c>
    </row>
    <row r="1097" spans="1:6">
      <c r="A1097" s="1" t="s">
        <v>415</v>
      </c>
      <c r="B1097" s="3">
        <v>45951</v>
      </c>
      <c r="C1097" s="1">
        <v>43.12</v>
      </c>
      <c r="D1097" s="1">
        <v>1.008665</v>
      </c>
      <c r="E1097" s="1">
        <v>1.96</v>
      </c>
      <c r="F1097" s="1">
        <v>2.968665</v>
      </c>
    </row>
    <row r="1098" spans="1:6">
      <c r="A1098" s="1" t="s">
        <v>415</v>
      </c>
      <c r="B1098" s="3">
        <v>46043</v>
      </c>
      <c r="C1098" s="1">
        <v>41.16</v>
      </c>
      <c r="D1098" s="1">
        <v>0.96481</v>
      </c>
      <c r="E1098" s="1">
        <v>1.96</v>
      </c>
      <c r="F1098" s="1">
        <v>2.92481</v>
      </c>
    </row>
    <row r="1099" spans="1:6">
      <c r="A1099" s="1" t="s">
        <v>415</v>
      </c>
      <c r="B1099" s="3">
        <v>46133</v>
      </c>
      <c r="C1099" s="1">
        <v>38.71</v>
      </c>
      <c r="D1099" s="1">
        <v>0.920955</v>
      </c>
      <c r="E1099" s="1">
        <v>2.45</v>
      </c>
      <c r="F1099" s="1">
        <v>3.370955</v>
      </c>
    </row>
    <row r="1100" spans="1:6">
      <c r="A1100" s="1" t="s">
        <v>415</v>
      </c>
      <c r="B1100" s="3">
        <v>46224</v>
      </c>
      <c r="C1100" s="1">
        <v>36.26</v>
      </c>
      <c r="D1100" s="1">
        <v>0.866136</v>
      </c>
      <c r="E1100" s="1">
        <v>2.45</v>
      </c>
      <c r="F1100" s="1">
        <v>3.316136</v>
      </c>
    </row>
    <row r="1101" spans="1:6">
      <c r="A1101" s="1" t="s">
        <v>415</v>
      </c>
      <c r="B1101" s="3">
        <v>46316</v>
      </c>
      <c r="C1101" s="1">
        <v>33.81</v>
      </c>
      <c r="D1101" s="1">
        <v>0.811317</v>
      </c>
      <c r="E1101" s="1">
        <v>2.45</v>
      </c>
      <c r="F1101" s="1">
        <v>3.261318</v>
      </c>
    </row>
    <row r="1102" spans="1:6">
      <c r="A1102" s="1" t="s">
        <v>415</v>
      </c>
      <c r="B1102" s="3">
        <v>46408</v>
      </c>
      <c r="C1102" s="1">
        <v>31.36</v>
      </c>
      <c r="D1102" s="1">
        <v>0.756499</v>
      </c>
      <c r="E1102" s="1">
        <v>2.45</v>
      </c>
      <c r="F1102" s="1">
        <v>3.206499</v>
      </c>
    </row>
    <row r="1103" spans="1:6">
      <c r="A1103" s="1" t="s">
        <v>415</v>
      </c>
      <c r="B1103" s="3">
        <v>46498</v>
      </c>
      <c r="C1103" s="1">
        <v>28.91</v>
      </c>
      <c r="D1103" s="1">
        <v>0.70168</v>
      </c>
      <c r="E1103" s="1">
        <v>2.45</v>
      </c>
      <c r="F1103" s="1">
        <v>3.15168</v>
      </c>
    </row>
    <row r="1104" spans="1:6">
      <c r="A1104" s="1" t="s">
        <v>415</v>
      </c>
      <c r="B1104" s="3">
        <v>46589</v>
      </c>
      <c r="C1104" s="1">
        <v>26.46</v>
      </c>
      <c r="D1104" s="1">
        <v>0.646861</v>
      </c>
      <c r="E1104" s="1">
        <v>2.45</v>
      </c>
      <c r="F1104" s="1">
        <v>3.096861</v>
      </c>
    </row>
    <row r="1105" spans="1:6">
      <c r="A1105" s="1" t="s">
        <v>415</v>
      </c>
      <c r="B1105" s="3">
        <v>46681</v>
      </c>
      <c r="C1105" s="1">
        <v>24.01</v>
      </c>
      <c r="D1105" s="1">
        <v>0.592043</v>
      </c>
      <c r="E1105" s="1">
        <v>2.45</v>
      </c>
      <c r="F1105" s="1">
        <v>3.042042</v>
      </c>
    </row>
    <row r="1106" spans="1:6">
      <c r="A1106" s="1" t="s">
        <v>415</v>
      </c>
      <c r="B1106" s="3">
        <v>46773</v>
      </c>
      <c r="C1106" s="1">
        <v>21.56</v>
      </c>
      <c r="D1106" s="1">
        <v>0.537224</v>
      </c>
      <c r="E1106" s="1">
        <v>2.45</v>
      </c>
      <c r="F1106" s="1">
        <v>2.987224</v>
      </c>
    </row>
    <row r="1107" spans="1:6">
      <c r="A1107" s="1" t="s">
        <v>415</v>
      </c>
      <c r="B1107" s="3">
        <v>46864</v>
      </c>
      <c r="C1107" s="1">
        <v>18.865</v>
      </c>
      <c r="D1107" s="1">
        <v>0.482405</v>
      </c>
      <c r="E1107" s="1">
        <v>2.695</v>
      </c>
      <c r="F1107" s="1">
        <v>3.177405</v>
      </c>
    </row>
    <row r="1108" spans="1:6">
      <c r="A1108" s="1" t="s">
        <v>415</v>
      </c>
      <c r="B1108" s="3">
        <v>46955</v>
      </c>
      <c r="C1108" s="1">
        <v>16.17</v>
      </c>
      <c r="D1108" s="1">
        <v>0.422104</v>
      </c>
      <c r="E1108" s="1">
        <v>2.695</v>
      </c>
      <c r="F1108" s="1">
        <v>3.117104</v>
      </c>
    </row>
    <row r="1109" spans="1:6">
      <c r="A1109" s="1" t="s">
        <v>415</v>
      </c>
      <c r="B1109" s="3">
        <v>47049</v>
      </c>
      <c r="C1109" s="1">
        <v>13.475</v>
      </c>
      <c r="D1109" s="1">
        <v>0.361804</v>
      </c>
      <c r="E1109" s="1">
        <v>2.695</v>
      </c>
      <c r="F1109" s="1">
        <v>3.056804</v>
      </c>
    </row>
    <row r="1110" spans="1:6">
      <c r="A1110" s="1" t="s">
        <v>415</v>
      </c>
      <c r="B1110" s="3">
        <v>47140</v>
      </c>
      <c r="C1110" s="1">
        <v>10.78</v>
      </c>
      <c r="D1110" s="1">
        <v>0.301503</v>
      </c>
      <c r="E1110" s="1">
        <v>2.695</v>
      </c>
      <c r="F1110" s="1">
        <v>2.996503</v>
      </c>
    </row>
    <row r="1111" spans="1:6">
      <c r="A1111" s="1" t="s">
        <v>415</v>
      </c>
      <c r="B1111" s="3">
        <v>47231</v>
      </c>
      <c r="C1111" s="1">
        <v>8.085</v>
      </c>
      <c r="D1111" s="1">
        <v>0.241202</v>
      </c>
      <c r="E1111" s="1">
        <v>2.695</v>
      </c>
      <c r="F1111" s="1">
        <v>2.936203</v>
      </c>
    </row>
    <row r="1112" spans="1:6">
      <c r="A1112" s="1" t="s">
        <v>415</v>
      </c>
      <c r="B1112" s="3">
        <v>47322</v>
      </c>
      <c r="C1112" s="1">
        <v>5.39</v>
      </c>
      <c r="D1112" s="1">
        <v>0.180902</v>
      </c>
      <c r="E1112" s="1">
        <v>2.695</v>
      </c>
      <c r="F1112" s="1">
        <v>2.875902</v>
      </c>
    </row>
    <row r="1113" spans="1:6">
      <c r="A1113" s="1" t="s">
        <v>415</v>
      </c>
      <c r="B1113" s="3">
        <v>47413</v>
      </c>
      <c r="C1113" s="1">
        <v>2.695</v>
      </c>
      <c r="D1113" s="1">
        <v>0.120601</v>
      </c>
      <c r="E1113" s="1">
        <v>2.695</v>
      </c>
      <c r="F1113" s="1">
        <v>2.815601</v>
      </c>
    </row>
    <row r="1114" spans="1:6">
      <c r="A1114" s="1" t="s">
        <v>415</v>
      </c>
      <c r="B1114" s="3">
        <v>47504</v>
      </c>
      <c r="C1114" s="1">
        <v>0</v>
      </c>
      <c r="D1114" s="1">
        <v>0.060301</v>
      </c>
      <c r="E1114" s="1">
        <v>2.695</v>
      </c>
      <c r="F1114" s="1">
        <v>2.755301</v>
      </c>
    </row>
    <row r="1115" spans="1:6">
      <c r="A1115" s="1" t="s">
        <v>416</v>
      </c>
      <c r="B1115" s="3">
        <v>43035</v>
      </c>
      <c r="C1115" s="1">
        <v>100</v>
      </c>
      <c r="D1115" s="1">
        <v>3.75</v>
      </c>
      <c r="E1115" s="1">
        <v>0</v>
      </c>
      <c r="F1115" s="1">
        <v>3.75</v>
      </c>
    </row>
    <row r="1116" spans="1:6">
      <c r="A1116" s="1" t="s">
        <v>416</v>
      </c>
      <c r="B1116" s="3">
        <v>43217</v>
      </c>
      <c r="C1116" s="1">
        <v>100</v>
      </c>
      <c r="D1116" s="1">
        <v>3.75</v>
      </c>
      <c r="E1116" s="1">
        <v>0</v>
      </c>
      <c r="F1116" s="1">
        <v>3.75</v>
      </c>
    </row>
    <row r="1117" spans="1:6">
      <c r="A1117" s="1" t="s">
        <v>416</v>
      </c>
      <c r="B1117" s="3">
        <v>43402</v>
      </c>
      <c r="C1117" s="1">
        <v>100</v>
      </c>
      <c r="D1117" s="1">
        <v>3.75</v>
      </c>
      <c r="E1117" s="1">
        <v>0</v>
      </c>
      <c r="F1117" s="1">
        <v>3.75</v>
      </c>
    </row>
    <row r="1118" spans="1:6">
      <c r="A1118" s="1" t="s">
        <v>416</v>
      </c>
      <c r="B1118" s="3">
        <v>43584</v>
      </c>
      <c r="C1118" s="1">
        <v>100</v>
      </c>
      <c r="D1118" s="1">
        <v>3.75</v>
      </c>
      <c r="E1118" s="1">
        <v>0</v>
      </c>
      <c r="F1118" s="1">
        <v>3.75</v>
      </c>
    </row>
    <row r="1119" spans="1:6">
      <c r="A1119" s="1" t="s">
        <v>416</v>
      </c>
      <c r="B1119" s="3">
        <v>43766</v>
      </c>
      <c r="C1119" s="1">
        <v>100</v>
      </c>
      <c r="D1119" s="1">
        <v>3.75</v>
      </c>
      <c r="E1119" s="1">
        <v>0</v>
      </c>
      <c r="F1119" s="1">
        <v>3.75</v>
      </c>
    </row>
    <row r="1120" spans="1:6">
      <c r="A1120" s="1" t="s">
        <v>416</v>
      </c>
      <c r="B1120" s="3">
        <v>43948</v>
      </c>
      <c r="C1120" s="1">
        <v>100</v>
      </c>
      <c r="D1120" s="1">
        <v>3.75</v>
      </c>
      <c r="E1120" s="1">
        <v>0</v>
      </c>
      <c r="F1120" s="1">
        <v>3.75</v>
      </c>
    </row>
    <row r="1121" spans="1:6">
      <c r="A1121" s="1" t="s">
        <v>416</v>
      </c>
      <c r="B1121" s="3">
        <v>44162</v>
      </c>
      <c r="C1121" s="1">
        <v>100</v>
      </c>
      <c r="D1121" s="1">
        <v>1.458333</v>
      </c>
      <c r="E1121" s="1">
        <v>0</v>
      </c>
      <c r="F1121" s="1">
        <v>1.458333</v>
      </c>
    </row>
    <row r="1122" spans="1:6">
      <c r="A1122" s="1" t="s">
        <v>416</v>
      </c>
      <c r="B1122" s="3">
        <v>44313</v>
      </c>
      <c r="C1122" s="1">
        <v>100</v>
      </c>
      <c r="D1122" s="1">
        <v>1.041667</v>
      </c>
      <c r="E1122" s="1">
        <v>0</v>
      </c>
      <c r="F1122" s="1">
        <v>1.041667</v>
      </c>
    </row>
    <row r="1123" spans="1:6">
      <c r="A1123" s="1" t="s">
        <v>416</v>
      </c>
      <c r="B1123" s="3">
        <v>44496</v>
      </c>
      <c r="C1123" s="1">
        <v>100</v>
      </c>
      <c r="D1123" s="1">
        <v>1.25</v>
      </c>
      <c r="E1123" s="1">
        <v>0</v>
      </c>
      <c r="F1123" s="1">
        <v>1.25</v>
      </c>
    </row>
    <row r="1124" spans="1:6">
      <c r="A1124" s="1" t="s">
        <v>416</v>
      </c>
      <c r="B1124" s="3">
        <v>44678</v>
      </c>
      <c r="C1124" s="1">
        <v>100</v>
      </c>
      <c r="D1124" s="1">
        <v>2.3125</v>
      </c>
      <c r="E1124" s="1">
        <v>0</v>
      </c>
      <c r="F1124" s="1">
        <v>2.3125</v>
      </c>
    </row>
    <row r="1125" spans="1:6">
      <c r="A1125" s="1" t="s">
        <v>416</v>
      </c>
      <c r="B1125" s="3">
        <v>44861</v>
      </c>
      <c r="C1125" s="1">
        <v>100</v>
      </c>
      <c r="D1125" s="1">
        <v>2.3125</v>
      </c>
      <c r="E1125" s="1">
        <v>0</v>
      </c>
      <c r="F1125" s="1">
        <v>2.3125</v>
      </c>
    </row>
    <row r="1126" spans="1:6">
      <c r="A1126" s="1" t="s">
        <v>416</v>
      </c>
      <c r="B1126" s="3">
        <v>45043</v>
      </c>
      <c r="C1126" s="1">
        <v>100</v>
      </c>
      <c r="D1126" s="1">
        <v>3.3125</v>
      </c>
      <c r="E1126" s="1">
        <v>0</v>
      </c>
      <c r="F1126" s="1">
        <v>3.3125</v>
      </c>
    </row>
    <row r="1127" spans="1:6">
      <c r="A1127" s="1" t="s">
        <v>416</v>
      </c>
      <c r="B1127" s="3">
        <v>45226</v>
      </c>
      <c r="C1127" s="1">
        <v>100</v>
      </c>
      <c r="D1127" s="1">
        <v>3.3125</v>
      </c>
      <c r="E1127" s="1">
        <v>0</v>
      </c>
      <c r="F1127" s="1">
        <v>3.3125</v>
      </c>
    </row>
    <row r="1128" spans="1:6">
      <c r="A1128" s="1" t="s">
        <v>416</v>
      </c>
      <c r="B1128" s="3">
        <v>45411</v>
      </c>
      <c r="C1128" s="1">
        <v>92.3077</v>
      </c>
      <c r="D1128" s="1">
        <v>3.375</v>
      </c>
      <c r="E1128" s="1">
        <v>7.692308</v>
      </c>
      <c r="F1128" s="1">
        <v>11.067308</v>
      </c>
    </row>
    <row r="1129" spans="1:6">
      <c r="A1129" s="1" t="s">
        <v>416</v>
      </c>
      <c r="B1129" s="3">
        <v>45593</v>
      </c>
      <c r="C1129" s="1">
        <v>84.6154</v>
      </c>
      <c r="D1129" s="1">
        <v>3.115385</v>
      </c>
      <c r="E1129" s="1">
        <v>7.692308</v>
      </c>
      <c r="F1129" s="1">
        <v>10.807692</v>
      </c>
    </row>
    <row r="1130" spans="1:6">
      <c r="A1130" s="1" t="s">
        <v>416</v>
      </c>
      <c r="B1130" s="3">
        <v>45775</v>
      </c>
      <c r="C1130" s="1">
        <v>76.9231</v>
      </c>
      <c r="D1130" s="1">
        <v>2.908654</v>
      </c>
      <c r="E1130" s="1">
        <v>7.692308</v>
      </c>
      <c r="F1130" s="1">
        <v>10.600962</v>
      </c>
    </row>
    <row r="1131" spans="1:6">
      <c r="A1131" s="1" t="s">
        <v>416</v>
      </c>
      <c r="B1131" s="3">
        <v>45957</v>
      </c>
      <c r="C1131" s="1">
        <v>69.2308</v>
      </c>
      <c r="D1131" s="1">
        <v>2.644231</v>
      </c>
      <c r="E1131" s="1">
        <v>7.692308</v>
      </c>
      <c r="F1131" s="1">
        <v>10.336538</v>
      </c>
    </row>
    <row r="1132" spans="1:6">
      <c r="A1132" s="1" t="s">
        <v>416</v>
      </c>
      <c r="B1132" s="3">
        <v>46139</v>
      </c>
      <c r="C1132" s="1">
        <v>61.5385</v>
      </c>
      <c r="D1132" s="1">
        <v>2.379808</v>
      </c>
      <c r="E1132" s="1">
        <v>7.692308</v>
      </c>
      <c r="F1132" s="1">
        <v>10.072115</v>
      </c>
    </row>
    <row r="1133" spans="1:6">
      <c r="A1133" s="1" t="s">
        <v>416</v>
      </c>
      <c r="B1133" s="3">
        <v>46322</v>
      </c>
      <c r="C1133" s="1">
        <v>53.8462</v>
      </c>
      <c r="D1133" s="1">
        <v>2.115385</v>
      </c>
      <c r="E1133" s="1">
        <v>7.692308</v>
      </c>
      <c r="F1133" s="1">
        <v>9.807692</v>
      </c>
    </row>
    <row r="1134" spans="1:6">
      <c r="A1134" s="1" t="s">
        <v>416</v>
      </c>
      <c r="B1134" s="3">
        <v>46504</v>
      </c>
      <c r="C1134" s="1">
        <v>46.1538</v>
      </c>
      <c r="D1134" s="1">
        <v>1.850961</v>
      </c>
      <c r="E1134" s="1">
        <v>7.692308</v>
      </c>
      <c r="F1134" s="1">
        <v>9.543269</v>
      </c>
    </row>
    <row r="1135" spans="1:6">
      <c r="A1135" s="1" t="s">
        <v>416</v>
      </c>
      <c r="B1135" s="3">
        <v>46687</v>
      </c>
      <c r="C1135" s="1">
        <v>38.4615</v>
      </c>
      <c r="D1135" s="1">
        <v>1.586538</v>
      </c>
      <c r="E1135" s="1">
        <v>7.692308</v>
      </c>
      <c r="F1135" s="1">
        <v>9.278846</v>
      </c>
    </row>
    <row r="1136" spans="1:6">
      <c r="A1136" s="1" t="s">
        <v>416</v>
      </c>
      <c r="B1136" s="3">
        <v>46870</v>
      </c>
      <c r="C1136" s="1">
        <v>30.7692</v>
      </c>
      <c r="D1136" s="1">
        <v>1.322115</v>
      </c>
      <c r="E1136" s="1">
        <v>7.692308</v>
      </c>
      <c r="F1136" s="1">
        <v>9.014423</v>
      </c>
    </row>
    <row r="1137" spans="1:6">
      <c r="A1137" s="1" t="s">
        <v>416</v>
      </c>
      <c r="B1137" s="3">
        <v>47053</v>
      </c>
      <c r="C1137" s="1">
        <v>23.0769</v>
      </c>
      <c r="D1137" s="1">
        <v>1.057692</v>
      </c>
      <c r="E1137" s="1">
        <v>7.692308</v>
      </c>
      <c r="F1137" s="1">
        <v>8.75</v>
      </c>
    </row>
    <row r="1138" spans="1:6">
      <c r="A1138" s="1" t="s">
        <v>416</v>
      </c>
      <c r="B1138" s="3">
        <v>47235</v>
      </c>
      <c r="C1138" s="1">
        <v>15.3846</v>
      </c>
      <c r="D1138" s="1">
        <v>0.793269</v>
      </c>
      <c r="E1138" s="1">
        <v>7.692308</v>
      </c>
      <c r="F1138" s="1">
        <v>8.485577</v>
      </c>
    </row>
    <row r="1139" spans="1:6">
      <c r="A1139" s="1" t="s">
        <v>416</v>
      </c>
      <c r="B1139" s="3">
        <v>47420</v>
      </c>
      <c r="C1139" s="1">
        <v>7.6923</v>
      </c>
      <c r="D1139" s="1">
        <v>0.528846</v>
      </c>
      <c r="E1139" s="1">
        <v>7.692308</v>
      </c>
      <c r="F1139" s="1">
        <v>8.221154</v>
      </c>
    </row>
    <row r="1140" spans="1:6">
      <c r="A1140" s="1" t="s">
        <v>416</v>
      </c>
      <c r="B1140" s="3">
        <v>47602</v>
      </c>
      <c r="C1140" s="1">
        <v>0</v>
      </c>
      <c r="D1140" s="1">
        <v>0.264423</v>
      </c>
      <c r="E1140" s="1">
        <v>7.692304</v>
      </c>
      <c r="F1140" s="1">
        <v>7.956727</v>
      </c>
    </row>
    <row r="1141" spans="1:6">
      <c r="A1141" s="1" t="s">
        <v>417</v>
      </c>
      <c r="B1141" s="3">
        <v>42594</v>
      </c>
      <c r="C1141" s="1">
        <v>100</v>
      </c>
      <c r="D1141" s="1">
        <v>2.15625</v>
      </c>
      <c r="E1141" s="1">
        <v>0</v>
      </c>
      <c r="F1141" s="1">
        <v>2.15625</v>
      </c>
    </row>
    <row r="1142" spans="1:6">
      <c r="A1142" s="1" t="s">
        <v>417</v>
      </c>
      <c r="B1142" s="3">
        <v>42688</v>
      </c>
      <c r="C1142" s="1">
        <v>100</v>
      </c>
      <c r="D1142" s="1">
        <v>2.15625</v>
      </c>
      <c r="E1142" s="1">
        <v>0</v>
      </c>
      <c r="F1142" s="1">
        <v>2.15625</v>
      </c>
    </row>
    <row r="1143" spans="1:6">
      <c r="A1143" s="1" t="s">
        <v>417</v>
      </c>
      <c r="B1143" s="3">
        <v>42779</v>
      </c>
      <c r="C1143" s="1">
        <v>100</v>
      </c>
      <c r="D1143" s="1">
        <v>2.15625</v>
      </c>
      <c r="E1143" s="1">
        <v>0</v>
      </c>
      <c r="F1143" s="1">
        <v>2.15625</v>
      </c>
    </row>
    <row r="1144" spans="1:6">
      <c r="A1144" s="1" t="s">
        <v>417</v>
      </c>
      <c r="B1144" s="3">
        <v>42867</v>
      </c>
      <c r="C1144" s="1">
        <v>100</v>
      </c>
      <c r="D1144" s="1">
        <v>2.15625</v>
      </c>
      <c r="E1144" s="1">
        <v>0</v>
      </c>
      <c r="F1144" s="1">
        <v>2.15625</v>
      </c>
    </row>
    <row r="1145" spans="1:6">
      <c r="A1145" s="1" t="s">
        <v>417</v>
      </c>
      <c r="B1145" s="3">
        <v>42961</v>
      </c>
      <c r="C1145" s="1">
        <v>100</v>
      </c>
      <c r="D1145" s="1">
        <v>2.15625</v>
      </c>
      <c r="E1145" s="1">
        <v>0</v>
      </c>
      <c r="F1145" s="1">
        <v>2.15625</v>
      </c>
    </row>
    <row r="1146" spans="1:6">
      <c r="A1146" s="1" t="s">
        <v>417</v>
      </c>
      <c r="B1146" s="3">
        <v>43052</v>
      </c>
      <c r="C1146" s="1">
        <v>100</v>
      </c>
      <c r="D1146" s="1">
        <v>2.15625</v>
      </c>
      <c r="E1146" s="1">
        <v>0</v>
      </c>
      <c r="F1146" s="1">
        <v>2.15625</v>
      </c>
    </row>
    <row r="1147" spans="1:6">
      <c r="A1147" s="1" t="s">
        <v>417</v>
      </c>
      <c r="B1147" s="3">
        <v>43145</v>
      </c>
      <c r="C1147" s="1">
        <v>100</v>
      </c>
      <c r="D1147" s="1">
        <v>2.15625</v>
      </c>
      <c r="E1147" s="1">
        <v>0</v>
      </c>
      <c r="F1147" s="1">
        <v>2.15625</v>
      </c>
    </row>
    <row r="1148" spans="1:6">
      <c r="A1148" s="1" t="s">
        <v>417</v>
      </c>
      <c r="B1148" s="3">
        <v>43234</v>
      </c>
      <c r="C1148" s="1">
        <v>100</v>
      </c>
      <c r="D1148" s="1">
        <v>2.15625</v>
      </c>
      <c r="E1148" s="1">
        <v>0</v>
      </c>
      <c r="F1148" s="1">
        <v>2.15625</v>
      </c>
    </row>
    <row r="1149" spans="1:6">
      <c r="A1149" s="1" t="s">
        <v>417</v>
      </c>
      <c r="B1149" s="3">
        <v>43325</v>
      </c>
      <c r="C1149" s="1">
        <v>100</v>
      </c>
      <c r="D1149" s="1">
        <v>2.15625</v>
      </c>
      <c r="E1149" s="1">
        <v>0</v>
      </c>
      <c r="F1149" s="1">
        <v>2.15625</v>
      </c>
    </row>
    <row r="1150" spans="1:6">
      <c r="A1150" s="1" t="s">
        <v>417</v>
      </c>
      <c r="B1150" s="3">
        <v>43416</v>
      </c>
      <c r="C1150" s="1">
        <v>100</v>
      </c>
      <c r="D1150" s="1">
        <v>2.15625</v>
      </c>
      <c r="E1150" s="1">
        <v>0</v>
      </c>
      <c r="F1150" s="1">
        <v>2.15625</v>
      </c>
    </row>
    <row r="1151" spans="1:6">
      <c r="A1151" s="1" t="s">
        <v>417</v>
      </c>
      <c r="B1151" s="3">
        <v>43508</v>
      </c>
      <c r="C1151" s="1">
        <v>100</v>
      </c>
      <c r="D1151" s="1">
        <v>2.15625</v>
      </c>
      <c r="E1151" s="1">
        <v>0</v>
      </c>
      <c r="F1151" s="1">
        <v>2.15625</v>
      </c>
    </row>
    <row r="1152" spans="1:6">
      <c r="A1152" s="1" t="s">
        <v>417</v>
      </c>
      <c r="B1152" s="3">
        <v>43598</v>
      </c>
      <c r="C1152" s="1">
        <v>100</v>
      </c>
      <c r="D1152" s="1">
        <v>2.15625</v>
      </c>
      <c r="E1152" s="1">
        <v>0</v>
      </c>
      <c r="F1152" s="1">
        <v>2.15625</v>
      </c>
    </row>
    <row r="1153" spans="1:6">
      <c r="A1153" s="1" t="s">
        <v>417</v>
      </c>
      <c r="B1153" s="3">
        <v>43689</v>
      </c>
      <c r="C1153" s="1">
        <v>100</v>
      </c>
      <c r="D1153" s="1">
        <v>2.15625</v>
      </c>
      <c r="E1153" s="1">
        <v>0</v>
      </c>
      <c r="F1153" s="1">
        <v>2.15625</v>
      </c>
    </row>
    <row r="1154" spans="1:6">
      <c r="A1154" s="1" t="s">
        <v>417</v>
      </c>
      <c r="B1154" s="3">
        <v>43781</v>
      </c>
      <c r="C1154" s="1">
        <v>100</v>
      </c>
      <c r="D1154" s="1">
        <v>2.15625</v>
      </c>
      <c r="E1154" s="1">
        <v>0</v>
      </c>
      <c r="F1154" s="1">
        <v>2.15625</v>
      </c>
    </row>
    <row r="1155" spans="1:6">
      <c r="A1155" s="1" t="s">
        <v>417</v>
      </c>
      <c r="B1155" s="3">
        <v>43873</v>
      </c>
      <c r="C1155" s="1">
        <v>100</v>
      </c>
      <c r="D1155" s="1">
        <v>2.15625</v>
      </c>
      <c r="E1155" s="1">
        <v>0</v>
      </c>
      <c r="F1155" s="1">
        <v>2.15625</v>
      </c>
    </row>
    <row r="1156" spans="1:6">
      <c r="A1156" s="1" t="s">
        <v>417</v>
      </c>
      <c r="B1156" s="3">
        <v>43963</v>
      </c>
      <c r="C1156" s="1">
        <v>97</v>
      </c>
      <c r="D1156" s="1">
        <v>2.15625</v>
      </c>
      <c r="E1156" s="1">
        <v>3</v>
      </c>
      <c r="F1156" s="1">
        <v>5.15625</v>
      </c>
    </row>
    <row r="1157" spans="1:6">
      <c r="A1157" s="1" t="s">
        <v>417</v>
      </c>
      <c r="B1157" s="3">
        <v>44055</v>
      </c>
      <c r="C1157" s="1">
        <v>94</v>
      </c>
      <c r="D1157" s="1">
        <v>2.091563</v>
      </c>
      <c r="E1157" s="1">
        <v>3</v>
      </c>
      <c r="F1157" s="1">
        <v>5.091563</v>
      </c>
    </row>
    <row r="1158" spans="1:6">
      <c r="A1158" s="1" t="s">
        <v>417</v>
      </c>
      <c r="B1158" s="3">
        <v>44147</v>
      </c>
      <c r="C1158" s="1">
        <v>91</v>
      </c>
      <c r="D1158" s="1">
        <v>2.026875</v>
      </c>
      <c r="E1158" s="1">
        <v>3</v>
      </c>
      <c r="F1158" s="1">
        <v>5.026875</v>
      </c>
    </row>
    <row r="1159" spans="1:6">
      <c r="A1159" s="1" t="s">
        <v>417</v>
      </c>
      <c r="B1159" s="3">
        <v>44239</v>
      </c>
      <c r="C1159" s="1">
        <v>90.765</v>
      </c>
      <c r="D1159" s="1">
        <v>1.176175</v>
      </c>
      <c r="E1159" s="1">
        <v>0.235</v>
      </c>
      <c r="F1159" s="1">
        <v>1.411175</v>
      </c>
    </row>
    <row r="1160" spans="1:6">
      <c r="A1160" s="1" t="s">
        <v>417</v>
      </c>
      <c r="B1160" s="3">
        <v>44328</v>
      </c>
      <c r="C1160" s="1">
        <v>90.53</v>
      </c>
      <c r="D1160" s="1">
        <v>1.173138</v>
      </c>
      <c r="E1160" s="1">
        <v>0.235</v>
      </c>
      <c r="F1160" s="1">
        <v>1.408138</v>
      </c>
    </row>
    <row r="1161" spans="1:6">
      <c r="A1161" s="1" t="s">
        <v>417</v>
      </c>
      <c r="B1161" s="3">
        <v>44420</v>
      </c>
      <c r="C1161" s="1">
        <v>90.295</v>
      </c>
      <c r="D1161" s="1">
        <v>1.1701</v>
      </c>
      <c r="E1161" s="1">
        <v>0.235</v>
      </c>
      <c r="F1161" s="1">
        <v>1.4051</v>
      </c>
    </row>
    <row r="1162" spans="1:6">
      <c r="A1162" s="1" t="s">
        <v>417</v>
      </c>
      <c r="B1162" s="3">
        <v>44512</v>
      </c>
      <c r="C1162" s="1">
        <v>90.06</v>
      </c>
      <c r="D1162" s="1">
        <v>1.167063</v>
      </c>
      <c r="E1162" s="1">
        <v>0.235</v>
      </c>
      <c r="F1162" s="1">
        <v>1.402063</v>
      </c>
    </row>
    <row r="1163" spans="1:6">
      <c r="A1163" s="1" t="s">
        <v>417</v>
      </c>
      <c r="B1163" s="3">
        <v>44606</v>
      </c>
      <c r="C1163" s="1">
        <v>88.885</v>
      </c>
      <c r="D1163" s="1">
        <v>1.941919</v>
      </c>
      <c r="E1163" s="1">
        <v>1.175</v>
      </c>
      <c r="F1163" s="1">
        <v>3.116919</v>
      </c>
    </row>
    <row r="1164" spans="1:6">
      <c r="A1164" s="1" t="s">
        <v>417</v>
      </c>
      <c r="B1164" s="3">
        <v>44693</v>
      </c>
      <c r="C1164" s="1">
        <v>87.71</v>
      </c>
      <c r="D1164" s="1">
        <v>1.916583</v>
      </c>
      <c r="E1164" s="1">
        <v>1.175</v>
      </c>
      <c r="F1164" s="1">
        <v>3.091583</v>
      </c>
    </row>
    <row r="1165" spans="1:6">
      <c r="A1165" s="1" t="s">
        <v>417</v>
      </c>
      <c r="B1165" s="3">
        <v>44785</v>
      </c>
      <c r="C1165" s="1">
        <v>86.535</v>
      </c>
      <c r="D1165" s="1">
        <v>1.891247</v>
      </c>
      <c r="E1165" s="1">
        <v>1.175</v>
      </c>
      <c r="F1165" s="1">
        <v>3.066247</v>
      </c>
    </row>
    <row r="1166" spans="1:6">
      <c r="A1166" s="1" t="s">
        <v>417</v>
      </c>
      <c r="B1166" s="3">
        <v>44879</v>
      </c>
      <c r="C1166" s="1">
        <v>83.7435</v>
      </c>
      <c r="D1166" s="1">
        <v>1.865911</v>
      </c>
      <c r="E1166" s="1">
        <v>2.791452</v>
      </c>
      <c r="F1166" s="1">
        <v>4.657363</v>
      </c>
    </row>
    <row r="1167" spans="1:6">
      <c r="A1167" s="1" t="s">
        <v>417</v>
      </c>
      <c r="B1167" s="3">
        <v>44970</v>
      </c>
      <c r="C1167" s="1">
        <v>80.9521</v>
      </c>
      <c r="D1167" s="1">
        <v>1.80572</v>
      </c>
      <c r="E1167" s="1">
        <v>2.791452</v>
      </c>
      <c r="F1167" s="1">
        <v>4.597172</v>
      </c>
    </row>
    <row r="1168" spans="1:6">
      <c r="A1168" s="1" t="s">
        <v>417</v>
      </c>
      <c r="B1168" s="3">
        <v>45058</v>
      </c>
      <c r="C1168" s="1">
        <v>78.1606</v>
      </c>
      <c r="D1168" s="1">
        <v>1.74553</v>
      </c>
      <c r="E1168" s="1">
        <v>2.791452</v>
      </c>
      <c r="F1168" s="1">
        <v>4.536981</v>
      </c>
    </row>
    <row r="1169" spans="1:6">
      <c r="A1169" s="1" t="s">
        <v>417</v>
      </c>
      <c r="B1169" s="3">
        <v>45152</v>
      </c>
      <c r="C1169" s="1">
        <v>75.3692</v>
      </c>
      <c r="D1169" s="1">
        <v>1.685339</v>
      </c>
      <c r="E1169" s="1">
        <v>2.791452</v>
      </c>
      <c r="F1169" s="1">
        <v>4.47679</v>
      </c>
    </row>
    <row r="1170" spans="1:6">
      <c r="A1170" s="1" t="s">
        <v>417</v>
      </c>
      <c r="B1170" s="3">
        <v>45243</v>
      </c>
      <c r="C1170" s="1">
        <v>72.5777</v>
      </c>
      <c r="D1170" s="1">
        <v>1.625148</v>
      </c>
      <c r="E1170" s="1">
        <v>2.791452</v>
      </c>
      <c r="F1170" s="1">
        <v>4.4166</v>
      </c>
    </row>
    <row r="1171" spans="1:6">
      <c r="A1171" s="1" t="s">
        <v>417</v>
      </c>
      <c r="B1171" s="3">
        <v>45336</v>
      </c>
      <c r="C1171" s="1">
        <v>69.7863</v>
      </c>
      <c r="D1171" s="1">
        <v>1.564958</v>
      </c>
      <c r="E1171" s="1">
        <v>2.791452</v>
      </c>
      <c r="F1171" s="1">
        <v>4.356409</v>
      </c>
    </row>
    <row r="1172" spans="1:6">
      <c r="A1172" s="1" t="s">
        <v>417</v>
      </c>
      <c r="B1172" s="3">
        <v>45425</v>
      </c>
      <c r="C1172" s="1">
        <v>66.9948</v>
      </c>
      <c r="D1172" s="1">
        <v>1.504767</v>
      </c>
      <c r="E1172" s="1">
        <v>2.791452</v>
      </c>
      <c r="F1172" s="1">
        <v>4.296218</v>
      </c>
    </row>
    <row r="1173" spans="1:6">
      <c r="A1173" s="1" t="s">
        <v>417</v>
      </c>
      <c r="B1173" s="3">
        <v>45516</v>
      </c>
      <c r="C1173" s="1">
        <v>64.2034</v>
      </c>
      <c r="D1173" s="1">
        <v>1.444576</v>
      </c>
      <c r="E1173" s="1">
        <v>2.791452</v>
      </c>
      <c r="F1173" s="1">
        <v>4.236028</v>
      </c>
    </row>
    <row r="1174" spans="1:6">
      <c r="A1174" s="1" t="s">
        <v>417</v>
      </c>
      <c r="B1174" s="3">
        <v>45608</v>
      </c>
      <c r="C1174" s="1">
        <v>61.4119</v>
      </c>
      <c r="D1174" s="1">
        <v>1.384385</v>
      </c>
      <c r="E1174" s="1">
        <v>2.791452</v>
      </c>
      <c r="F1174" s="1">
        <v>4.175837</v>
      </c>
    </row>
    <row r="1175" spans="1:6">
      <c r="A1175" s="1" t="s">
        <v>417</v>
      </c>
      <c r="B1175" s="3">
        <v>45700</v>
      </c>
      <c r="C1175" s="1">
        <v>58.6205</v>
      </c>
      <c r="D1175" s="1">
        <v>1.324195</v>
      </c>
      <c r="E1175" s="1">
        <v>2.791452</v>
      </c>
      <c r="F1175" s="1">
        <v>4.115646</v>
      </c>
    </row>
    <row r="1176" spans="1:6">
      <c r="A1176" s="1" t="s">
        <v>417</v>
      </c>
      <c r="B1176" s="3">
        <v>45789</v>
      </c>
      <c r="C1176" s="1">
        <v>55.829</v>
      </c>
      <c r="D1176" s="1">
        <v>1.264004</v>
      </c>
      <c r="E1176" s="1">
        <v>2.791452</v>
      </c>
      <c r="F1176" s="1">
        <v>4.055456</v>
      </c>
    </row>
    <row r="1177" spans="1:6">
      <c r="A1177" s="1" t="s">
        <v>417</v>
      </c>
      <c r="B1177" s="3">
        <v>45881</v>
      </c>
      <c r="C1177" s="1">
        <v>53.0376</v>
      </c>
      <c r="D1177" s="1">
        <v>1.203813</v>
      </c>
      <c r="E1177" s="1">
        <v>2.791452</v>
      </c>
      <c r="F1177" s="1">
        <v>3.995265</v>
      </c>
    </row>
    <row r="1178" spans="1:6">
      <c r="A1178" s="1" t="s">
        <v>417</v>
      </c>
      <c r="B1178" s="3">
        <v>45973</v>
      </c>
      <c r="C1178" s="1">
        <v>50.2461</v>
      </c>
      <c r="D1178" s="1">
        <v>1.143623</v>
      </c>
      <c r="E1178" s="1">
        <v>2.791452</v>
      </c>
      <c r="F1178" s="1">
        <v>3.935074</v>
      </c>
    </row>
    <row r="1179" spans="1:6">
      <c r="A1179" s="1" t="s">
        <v>417</v>
      </c>
      <c r="B1179" s="3">
        <v>46065</v>
      </c>
      <c r="C1179" s="1">
        <v>47.4547</v>
      </c>
      <c r="D1179" s="1">
        <v>1.083432</v>
      </c>
      <c r="E1179" s="1">
        <v>2.791452</v>
      </c>
      <c r="F1179" s="1">
        <v>3.874884</v>
      </c>
    </row>
    <row r="1180" spans="1:6">
      <c r="A1180" s="1" t="s">
        <v>417</v>
      </c>
      <c r="B1180" s="3">
        <v>46154</v>
      </c>
      <c r="C1180" s="1">
        <v>44.6632</v>
      </c>
      <c r="D1180" s="1">
        <v>1.023241</v>
      </c>
      <c r="E1180" s="1">
        <v>2.791452</v>
      </c>
      <c r="F1180" s="1">
        <v>3.814693</v>
      </c>
    </row>
    <row r="1181" spans="1:6">
      <c r="A1181" s="1" t="s">
        <v>417</v>
      </c>
      <c r="B1181" s="3">
        <v>46246</v>
      </c>
      <c r="C1181" s="1">
        <v>41.8718</v>
      </c>
      <c r="D1181" s="1">
        <v>0.963051</v>
      </c>
      <c r="E1181" s="1">
        <v>2.791452</v>
      </c>
      <c r="F1181" s="1">
        <v>3.754502</v>
      </c>
    </row>
    <row r="1182" spans="1:6">
      <c r="A1182" s="1" t="s">
        <v>417</v>
      </c>
      <c r="B1182" s="3">
        <v>46338</v>
      </c>
      <c r="C1182" s="1">
        <v>39.0803</v>
      </c>
      <c r="D1182" s="1">
        <v>0.90286</v>
      </c>
      <c r="E1182" s="1">
        <v>2.791452</v>
      </c>
      <c r="F1182" s="1">
        <v>3.694312</v>
      </c>
    </row>
    <row r="1183" spans="1:6">
      <c r="A1183" s="1" t="s">
        <v>417</v>
      </c>
      <c r="B1183" s="3">
        <v>46430</v>
      </c>
      <c r="C1183" s="1">
        <v>36.2889</v>
      </c>
      <c r="D1183" s="1">
        <v>0.842669</v>
      </c>
      <c r="E1183" s="1">
        <v>2.791452</v>
      </c>
      <c r="F1183" s="1">
        <v>3.634121</v>
      </c>
    </row>
    <row r="1184" spans="1:6">
      <c r="A1184" s="1" t="s">
        <v>417</v>
      </c>
      <c r="B1184" s="3">
        <v>46519</v>
      </c>
      <c r="C1184" s="1">
        <v>33.4974</v>
      </c>
      <c r="D1184" s="1">
        <v>0.782479</v>
      </c>
      <c r="E1184" s="1">
        <v>2.791452</v>
      </c>
      <c r="F1184" s="1">
        <v>3.57393</v>
      </c>
    </row>
    <row r="1185" spans="1:6">
      <c r="A1185" s="1" t="s">
        <v>417</v>
      </c>
      <c r="B1185" s="3">
        <v>46611</v>
      </c>
      <c r="C1185" s="1">
        <v>30.706</v>
      </c>
      <c r="D1185" s="1">
        <v>0.722288</v>
      </c>
      <c r="E1185" s="1">
        <v>2.791452</v>
      </c>
      <c r="F1185" s="1">
        <v>3.51374</v>
      </c>
    </row>
    <row r="1186" spans="1:6">
      <c r="A1186" s="1" t="s">
        <v>417</v>
      </c>
      <c r="B1186" s="3">
        <v>46703</v>
      </c>
      <c r="C1186" s="1">
        <v>27.9145</v>
      </c>
      <c r="D1186" s="1">
        <v>0.662097</v>
      </c>
      <c r="E1186" s="1">
        <v>2.791452</v>
      </c>
      <c r="F1186" s="1">
        <v>3.453549</v>
      </c>
    </row>
    <row r="1187" spans="1:6">
      <c r="A1187" s="1" t="s">
        <v>417</v>
      </c>
      <c r="B1187" s="3">
        <v>46797</v>
      </c>
      <c r="C1187" s="1">
        <v>25.1231</v>
      </c>
      <c r="D1187" s="1">
        <v>0.601907</v>
      </c>
      <c r="E1187" s="1">
        <v>2.791452</v>
      </c>
      <c r="F1187" s="1">
        <v>3.393358</v>
      </c>
    </row>
    <row r="1188" spans="1:6">
      <c r="A1188" s="1" t="s">
        <v>417</v>
      </c>
      <c r="B1188" s="3">
        <v>46885</v>
      </c>
      <c r="C1188" s="1">
        <v>22.3316</v>
      </c>
      <c r="D1188" s="1">
        <v>0.541716</v>
      </c>
      <c r="E1188" s="1">
        <v>2.791452</v>
      </c>
      <c r="F1188" s="1">
        <v>3.333168</v>
      </c>
    </row>
    <row r="1189" spans="1:6">
      <c r="A1189" s="1" t="s">
        <v>417</v>
      </c>
      <c r="B1189" s="3">
        <v>46979</v>
      </c>
      <c r="C1189" s="1">
        <v>19.5402</v>
      </c>
      <c r="D1189" s="1">
        <v>0.481525</v>
      </c>
      <c r="E1189" s="1">
        <v>2.791452</v>
      </c>
      <c r="F1189" s="1">
        <v>3.272977</v>
      </c>
    </row>
    <row r="1190" spans="1:6">
      <c r="A1190" s="1" t="s">
        <v>417</v>
      </c>
      <c r="B1190" s="3">
        <v>47070</v>
      </c>
      <c r="C1190" s="1">
        <v>16.7487</v>
      </c>
      <c r="D1190" s="1">
        <v>0.421335</v>
      </c>
      <c r="E1190" s="1">
        <v>2.791452</v>
      </c>
      <c r="F1190" s="1">
        <v>3.212786</v>
      </c>
    </row>
    <row r="1191" spans="1:6">
      <c r="A1191" s="1" t="s">
        <v>417</v>
      </c>
      <c r="B1191" s="3">
        <v>47161</v>
      </c>
      <c r="C1191" s="1">
        <v>13.9572</v>
      </c>
      <c r="D1191" s="1">
        <v>0.361144</v>
      </c>
      <c r="E1191" s="1">
        <v>2.791452</v>
      </c>
      <c r="F1191" s="1">
        <v>3.152595</v>
      </c>
    </row>
    <row r="1192" spans="1:6">
      <c r="A1192" s="1" t="s">
        <v>417</v>
      </c>
      <c r="B1192" s="3">
        <v>47252</v>
      </c>
      <c r="C1192" s="1">
        <v>11.1658</v>
      </c>
      <c r="D1192" s="1">
        <v>0.300953</v>
      </c>
      <c r="E1192" s="1">
        <v>2.791452</v>
      </c>
      <c r="F1192" s="1">
        <v>3.092405</v>
      </c>
    </row>
    <row r="1193" spans="1:6">
      <c r="A1193" s="1" t="s">
        <v>417</v>
      </c>
      <c r="B1193" s="3">
        <v>47343</v>
      </c>
      <c r="C1193" s="1">
        <v>8.3743</v>
      </c>
      <c r="D1193" s="1">
        <v>0.240762</v>
      </c>
      <c r="E1193" s="1">
        <v>2.791452</v>
      </c>
      <c r="F1193" s="1">
        <v>3.032214</v>
      </c>
    </row>
    <row r="1194" spans="1:6">
      <c r="A1194" s="1" t="s">
        <v>417</v>
      </c>
      <c r="B1194" s="3">
        <v>47434</v>
      </c>
      <c r="C1194" s="1">
        <v>5.5829</v>
      </c>
      <c r="D1194" s="1">
        <v>0.180572</v>
      </c>
      <c r="E1194" s="1">
        <v>2.791452</v>
      </c>
      <c r="F1194" s="1">
        <v>2.972023</v>
      </c>
    </row>
    <row r="1195" spans="1:6">
      <c r="A1195" s="1" t="s">
        <v>417</v>
      </c>
      <c r="B1195" s="3">
        <v>47526</v>
      </c>
      <c r="C1195" s="1">
        <v>2.7914</v>
      </c>
      <c r="D1195" s="1">
        <v>0.120381</v>
      </c>
      <c r="E1195" s="1">
        <v>2.791452</v>
      </c>
      <c r="F1195" s="1">
        <v>2.911833</v>
      </c>
    </row>
    <row r="1196" spans="1:6">
      <c r="A1196" s="1" t="s">
        <v>417</v>
      </c>
      <c r="B1196" s="3">
        <v>47616</v>
      </c>
      <c r="C1196" s="1">
        <v>0</v>
      </c>
      <c r="D1196" s="1">
        <v>0.06019</v>
      </c>
      <c r="E1196" s="1">
        <v>2.79144</v>
      </c>
      <c r="F1196" s="1">
        <v>2.85163</v>
      </c>
    </row>
    <row r="1197" spans="1:6">
      <c r="A1197" s="1" t="s">
        <v>418</v>
      </c>
      <c r="B1197" s="3">
        <v>46024</v>
      </c>
      <c r="C1197" s="1">
        <v>100</v>
      </c>
      <c r="D1197" s="1">
        <v>4.875</v>
      </c>
      <c r="E1197" s="1">
        <v>0</v>
      </c>
      <c r="F1197" s="1">
        <v>4.875</v>
      </c>
    </row>
    <row r="1198" spans="1:6">
      <c r="A1198" s="1" t="s">
        <v>418</v>
      </c>
      <c r="B1198" s="3">
        <v>46205</v>
      </c>
      <c r="C1198" s="1">
        <v>100</v>
      </c>
      <c r="D1198" s="1">
        <v>4.875</v>
      </c>
      <c r="E1198" s="1">
        <v>0</v>
      </c>
      <c r="F1198" s="1">
        <v>4.875</v>
      </c>
    </row>
    <row r="1199" spans="1:6">
      <c r="A1199" s="1" t="s">
        <v>418</v>
      </c>
      <c r="B1199" s="3">
        <v>46391</v>
      </c>
      <c r="C1199" s="1">
        <v>100</v>
      </c>
      <c r="D1199" s="1">
        <v>4.875</v>
      </c>
      <c r="E1199" s="1">
        <v>0</v>
      </c>
      <c r="F1199" s="1">
        <v>4.875</v>
      </c>
    </row>
    <row r="1200" spans="1:6">
      <c r="A1200" s="1" t="s">
        <v>418</v>
      </c>
      <c r="B1200" s="3">
        <v>46570</v>
      </c>
      <c r="C1200" s="1">
        <v>100</v>
      </c>
      <c r="D1200" s="1">
        <v>4.875</v>
      </c>
      <c r="E1200" s="1">
        <v>0</v>
      </c>
      <c r="F1200" s="1">
        <v>4.875</v>
      </c>
    </row>
    <row r="1201" spans="1:6">
      <c r="A1201" s="1" t="s">
        <v>418</v>
      </c>
      <c r="B1201" s="3">
        <v>46755</v>
      </c>
      <c r="C1201" s="1">
        <v>100</v>
      </c>
      <c r="D1201" s="1">
        <v>4.875</v>
      </c>
      <c r="E1201" s="1">
        <v>0</v>
      </c>
      <c r="F1201" s="1">
        <v>4.875</v>
      </c>
    </row>
    <row r="1202" spans="1:6">
      <c r="A1202" s="1" t="s">
        <v>418</v>
      </c>
      <c r="B1202" s="3">
        <v>46937</v>
      </c>
      <c r="C1202" s="1">
        <v>100</v>
      </c>
      <c r="D1202" s="1">
        <v>4.875</v>
      </c>
      <c r="E1202" s="1">
        <v>0</v>
      </c>
      <c r="F1202" s="1">
        <v>4.875</v>
      </c>
    </row>
    <row r="1203" spans="1:6">
      <c r="A1203" s="1" t="s">
        <v>418</v>
      </c>
      <c r="B1203" s="3">
        <v>47120</v>
      </c>
      <c r="C1203" s="1">
        <v>100</v>
      </c>
      <c r="D1203" s="1">
        <v>4.875</v>
      </c>
      <c r="E1203" s="1">
        <v>0</v>
      </c>
      <c r="F1203" s="1">
        <v>4.875</v>
      </c>
    </row>
    <row r="1204" spans="1:6">
      <c r="A1204" s="1" t="s">
        <v>418</v>
      </c>
      <c r="B1204" s="3">
        <v>47301</v>
      </c>
      <c r="C1204" s="1">
        <v>100</v>
      </c>
      <c r="D1204" s="1">
        <v>4.875</v>
      </c>
      <c r="E1204" s="1">
        <v>0</v>
      </c>
      <c r="F1204" s="1">
        <v>4.875</v>
      </c>
    </row>
    <row r="1205" spans="1:6">
      <c r="A1205" s="1" t="s">
        <v>418</v>
      </c>
      <c r="B1205" s="3">
        <v>47485</v>
      </c>
      <c r="C1205" s="1">
        <v>100</v>
      </c>
      <c r="D1205" s="1">
        <v>4.875</v>
      </c>
      <c r="E1205" s="1">
        <v>0</v>
      </c>
      <c r="F1205" s="1">
        <v>4.875</v>
      </c>
    </row>
    <row r="1206" spans="1:6">
      <c r="A1206" s="1" t="s">
        <v>418</v>
      </c>
      <c r="B1206" s="3">
        <v>47666</v>
      </c>
      <c r="C1206" s="1">
        <v>67</v>
      </c>
      <c r="D1206" s="1">
        <v>4.875</v>
      </c>
      <c r="E1206" s="1">
        <v>33</v>
      </c>
      <c r="F1206" s="1">
        <v>37.875</v>
      </c>
    </row>
    <row r="1207" spans="1:6">
      <c r="A1207" s="1" t="s">
        <v>418</v>
      </c>
      <c r="B1207" s="3">
        <v>47850</v>
      </c>
      <c r="C1207" s="1">
        <v>67</v>
      </c>
      <c r="D1207" s="1">
        <v>3.26625</v>
      </c>
      <c r="E1207" s="1">
        <v>0</v>
      </c>
      <c r="F1207" s="1">
        <v>3.26625</v>
      </c>
    </row>
    <row r="1208" spans="1:6">
      <c r="A1208" s="1" t="s">
        <v>418</v>
      </c>
      <c r="B1208" s="3">
        <v>48031</v>
      </c>
      <c r="C1208" s="1">
        <v>34</v>
      </c>
      <c r="D1208" s="1">
        <v>3.26625</v>
      </c>
      <c r="E1208" s="1">
        <v>33</v>
      </c>
      <c r="F1208" s="1">
        <v>36.26625</v>
      </c>
    </row>
    <row r="1209" spans="1:6">
      <c r="A1209" s="1" t="s">
        <v>418</v>
      </c>
      <c r="B1209" s="3">
        <v>48215</v>
      </c>
      <c r="C1209" s="1">
        <v>34</v>
      </c>
      <c r="D1209" s="1">
        <v>1.6575</v>
      </c>
      <c r="E1209" s="1">
        <v>0</v>
      </c>
      <c r="F1209" s="1">
        <v>1.6575</v>
      </c>
    </row>
    <row r="1210" spans="1:6">
      <c r="A1210" s="1" t="s">
        <v>418</v>
      </c>
      <c r="B1210" s="3">
        <v>48397</v>
      </c>
      <c r="C1210" s="1">
        <v>0</v>
      </c>
      <c r="D1210" s="1">
        <v>1.6575</v>
      </c>
      <c r="E1210" s="1">
        <v>34</v>
      </c>
      <c r="F1210" s="1">
        <v>35.6575</v>
      </c>
    </row>
    <row r="1211" spans="1:6">
      <c r="A1211" s="1" t="s">
        <v>419</v>
      </c>
      <c r="B1211" s="3">
        <v>46269</v>
      </c>
      <c r="C1211" s="1">
        <v>100</v>
      </c>
      <c r="D1211" s="1">
        <v>4.775</v>
      </c>
      <c r="E1211" s="1">
        <v>0</v>
      </c>
      <c r="F1211" s="1">
        <v>4.775</v>
      </c>
    </row>
    <row r="1212" spans="1:6">
      <c r="A1212" s="1" t="s">
        <v>419</v>
      </c>
      <c r="B1212" s="3">
        <v>46450</v>
      </c>
      <c r="C1212" s="1">
        <v>100</v>
      </c>
      <c r="D1212" s="1">
        <v>4.775</v>
      </c>
      <c r="E1212" s="1">
        <v>0</v>
      </c>
      <c r="F1212" s="1">
        <v>4.775</v>
      </c>
    </row>
    <row r="1213" spans="1:6">
      <c r="A1213" s="1" t="s">
        <v>419</v>
      </c>
      <c r="B1213" s="3">
        <v>46636</v>
      </c>
      <c r="C1213" s="1">
        <v>100</v>
      </c>
      <c r="D1213" s="1">
        <v>4.775</v>
      </c>
      <c r="E1213" s="1">
        <v>0</v>
      </c>
      <c r="F1213" s="1">
        <v>4.775</v>
      </c>
    </row>
    <row r="1214" spans="1:6">
      <c r="A1214" s="1" t="s">
        <v>419</v>
      </c>
      <c r="B1214" s="3">
        <v>46818</v>
      </c>
      <c r="C1214" s="1">
        <v>100</v>
      </c>
      <c r="D1214" s="1">
        <v>4.775</v>
      </c>
      <c r="E1214" s="1">
        <v>0</v>
      </c>
      <c r="F1214" s="1">
        <v>4.775</v>
      </c>
    </row>
    <row r="1215" spans="1:6">
      <c r="A1215" s="1" t="s">
        <v>419</v>
      </c>
      <c r="B1215" s="3">
        <v>47000</v>
      </c>
      <c r="C1215" s="1">
        <v>100</v>
      </c>
      <c r="D1215" s="1">
        <v>4.775</v>
      </c>
      <c r="E1215" s="1">
        <v>0</v>
      </c>
      <c r="F1215" s="1">
        <v>4.775</v>
      </c>
    </row>
    <row r="1216" spans="1:6">
      <c r="A1216" s="1" t="s">
        <v>419</v>
      </c>
      <c r="B1216" s="3">
        <v>47182</v>
      </c>
      <c r="C1216" s="1">
        <v>100</v>
      </c>
      <c r="D1216" s="1">
        <v>4.775</v>
      </c>
      <c r="E1216" s="1">
        <v>0</v>
      </c>
      <c r="F1216" s="1">
        <v>4.775</v>
      </c>
    </row>
    <row r="1217" spans="1:6">
      <c r="A1217" s="1" t="s">
        <v>419</v>
      </c>
      <c r="B1217" s="3">
        <v>47365</v>
      </c>
      <c r="C1217" s="1">
        <v>100</v>
      </c>
      <c r="D1217" s="1">
        <v>4.775</v>
      </c>
      <c r="E1217" s="1">
        <v>0</v>
      </c>
      <c r="F1217" s="1">
        <v>4.775</v>
      </c>
    </row>
    <row r="1218" spans="1:6">
      <c r="A1218" s="1" t="s">
        <v>419</v>
      </c>
      <c r="B1218" s="3">
        <v>47546</v>
      </c>
      <c r="C1218" s="1">
        <v>100</v>
      </c>
      <c r="D1218" s="1">
        <v>4.775</v>
      </c>
      <c r="E1218" s="1">
        <v>0</v>
      </c>
      <c r="F1218" s="1">
        <v>4.775</v>
      </c>
    </row>
    <row r="1219" spans="1:6">
      <c r="A1219" s="1" t="s">
        <v>419</v>
      </c>
      <c r="B1219" s="3">
        <v>47730</v>
      </c>
      <c r="C1219" s="1">
        <v>100</v>
      </c>
      <c r="D1219" s="1">
        <v>4.775</v>
      </c>
      <c r="E1219" s="1">
        <v>0</v>
      </c>
      <c r="F1219" s="1">
        <v>4.775</v>
      </c>
    </row>
    <row r="1220" spans="1:6">
      <c r="A1220" s="1" t="s">
        <v>419</v>
      </c>
      <c r="B1220" s="3">
        <v>47911</v>
      </c>
      <c r="C1220" s="1">
        <v>66.67</v>
      </c>
      <c r="D1220" s="1">
        <v>4.775</v>
      </c>
      <c r="E1220" s="1">
        <v>33.33</v>
      </c>
      <c r="F1220" s="1">
        <v>38.105</v>
      </c>
    </row>
    <row r="1221" spans="1:6">
      <c r="A1221" s="1" t="s">
        <v>419</v>
      </c>
      <c r="B1221" s="3">
        <v>48095</v>
      </c>
      <c r="C1221" s="1">
        <v>66.67</v>
      </c>
      <c r="D1221" s="1">
        <v>3.183492</v>
      </c>
      <c r="E1221" s="1">
        <v>0</v>
      </c>
      <c r="F1221" s="1">
        <v>3.183492</v>
      </c>
    </row>
    <row r="1222" spans="1:6">
      <c r="A1222" s="1" t="s">
        <v>419</v>
      </c>
      <c r="B1222" s="3">
        <v>48277</v>
      </c>
      <c r="C1222" s="1">
        <v>33.34</v>
      </c>
      <c r="D1222" s="1">
        <v>3.183492</v>
      </c>
      <c r="E1222" s="1">
        <v>33.33</v>
      </c>
      <c r="F1222" s="1">
        <v>36.513492</v>
      </c>
    </row>
    <row r="1223" spans="1:6">
      <c r="A1223" s="1" t="s">
        <v>419</v>
      </c>
      <c r="B1223" s="3">
        <v>48463</v>
      </c>
      <c r="C1223" s="1">
        <v>33.34</v>
      </c>
      <c r="D1223" s="1">
        <v>1.591985</v>
      </c>
      <c r="E1223" s="1">
        <v>0</v>
      </c>
      <c r="F1223" s="1">
        <v>1.591985</v>
      </c>
    </row>
    <row r="1224" spans="1:6">
      <c r="A1224" s="1" t="s">
        <v>419</v>
      </c>
      <c r="B1224" s="3">
        <v>48642</v>
      </c>
      <c r="C1224" s="1">
        <v>0</v>
      </c>
      <c r="D1224" s="1">
        <v>1.591985</v>
      </c>
      <c r="E1224" s="1">
        <v>33.34</v>
      </c>
      <c r="F1224" s="1">
        <v>34.931985</v>
      </c>
    </row>
    <row r="1225" spans="1:6">
      <c r="A1225" s="1" t="s">
        <v>420</v>
      </c>
      <c r="B1225" s="3">
        <v>46168</v>
      </c>
      <c r="C1225" s="1">
        <v>100</v>
      </c>
      <c r="D1225" s="1">
        <v>3.9</v>
      </c>
      <c r="E1225" s="1">
        <v>0</v>
      </c>
      <c r="F1225" s="1">
        <v>3.9</v>
      </c>
    </row>
    <row r="1226" spans="1:6">
      <c r="A1226" s="1" t="s">
        <v>420</v>
      </c>
      <c r="B1226" s="3">
        <v>46352</v>
      </c>
      <c r="C1226" s="1">
        <v>100</v>
      </c>
      <c r="D1226" s="1">
        <v>3.9</v>
      </c>
      <c r="E1226" s="1">
        <v>0</v>
      </c>
      <c r="F1226" s="1">
        <v>3.9</v>
      </c>
    </row>
    <row r="1227" spans="1:6">
      <c r="A1227" s="1" t="s">
        <v>420</v>
      </c>
      <c r="B1227" s="3">
        <v>46533</v>
      </c>
      <c r="C1227" s="1">
        <v>100</v>
      </c>
      <c r="D1227" s="1">
        <v>3.9</v>
      </c>
      <c r="E1227" s="1">
        <v>0</v>
      </c>
      <c r="F1227" s="1">
        <v>3.9</v>
      </c>
    </row>
    <row r="1228" spans="1:6">
      <c r="A1228" s="1" t="s">
        <v>420</v>
      </c>
      <c r="B1228" s="3">
        <v>46717</v>
      </c>
      <c r="C1228" s="1">
        <v>100</v>
      </c>
      <c r="D1228" s="1">
        <v>3.9</v>
      </c>
      <c r="E1228" s="1">
        <v>0</v>
      </c>
      <c r="F1228" s="1">
        <v>3.9</v>
      </c>
    </row>
    <row r="1229" spans="1:6">
      <c r="A1229" s="1" t="s">
        <v>420</v>
      </c>
      <c r="B1229" s="3">
        <v>46899</v>
      </c>
      <c r="C1229" s="1">
        <v>100</v>
      </c>
      <c r="D1229" s="1">
        <v>3.9</v>
      </c>
      <c r="E1229" s="1">
        <v>0</v>
      </c>
      <c r="F1229" s="1">
        <v>3.9</v>
      </c>
    </row>
    <row r="1230" spans="1:6">
      <c r="A1230" s="1" t="s">
        <v>420</v>
      </c>
      <c r="B1230" s="3">
        <v>47084</v>
      </c>
      <c r="C1230" s="1">
        <v>100</v>
      </c>
      <c r="D1230" s="1">
        <v>3.9</v>
      </c>
      <c r="E1230" s="1">
        <v>0</v>
      </c>
      <c r="F1230" s="1">
        <v>3.9</v>
      </c>
    </row>
    <row r="1231" spans="1:6">
      <c r="A1231" s="1" t="s">
        <v>420</v>
      </c>
      <c r="B1231" s="3">
        <v>47266</v>
      </c>
      <c r="C1231" s="1">
        <v>100</v>
      </c>
      <c r="D1231" s="1">
        <v>3.9</v>
      </c>
      <c r="E1231" s="1">
        <v>0</v>
      </c>
      <c r="F1231" s="1">
        <v>3.9</v>
      </c>
    </row>
    <row r="1232" spans="1:6">
      <c r="A1232" s="1" t="s">
        <v>420</v>
      </c>
      <c r="B1232" s="3">
        <v>47448</v>
      </c>
      <c r="C1232" s="1">
        <v>100</v>
      </c>
      <c r="D1232" s="1">
        <v>3.9</v>
      </c>
      <c r="E1232" s="1">
        <v>0</v>
      </c>
      <c r="F1232" s="1">
        <v>3.9</v>
      </c>
    </row>
    <row r="1233" spans="1:6">
      <c r="A1233" s="1" t="s">
        <v>420</v>
      </c>
      <c r="B1233" s="3">
        <v>47630</v>
      </c>
      <c r="C1233" s="1">
        <v>100</v>
      </c>
      <c r="D1233" s="1">
        <v>3.9</v>
      </c>
      <c r="E1233" s="1">
        <v>0</v>
      </c>
      <c r="F1233" s="1">
        <v>3.9</v>
      </c>
    </row>
    <row r="1234" spans="1:6">
      <c r="A1234" s="1" t="s">
        <v>420</v>
      </c>
      <c r="B1234" s="3">
        <v>47813</v>
      </c>
      <c r="C1234" s="1">
        <v>100</v>
      </c>
      <c r="D1234" s="1">
        <v>3.9</v>
      </c>
      <c r="E1234" s="1">
        <v>0</v>
      </c>
      <c r="F1234" s="1">
        <v>3.9</v>
      </c>
    </row>
    <row r="1235" spans="1:6">
      <c r="A1235" s="1" t="s">
        <v>420</v>
      </c>
      <c r="B1235" s="3">
        <v>47994</v>
      </c>
      <c r="C1235" s="1">
        <v>100</v>
      </c>
      <c r="D1235" s="1">
        <v>3.9</v>
      </c>
      <c r="E1235" s="1">
        <v>0</v>
      </c>
      <c r="F1235" s="1">
        <v>3.9</v>
      </c>
    </row>
    <row r="1236" spans="1:6">
      <c r="A1236" s="1" t="s">
        <v>420</v>
      </c>
      <c r="B1236" s="3">
        <v>48178</v>
      </c>
      <c r="C1236" s="1">
        <v>66.67</v>
      </c>
      <c r="D1236" s="1">
        <v>3.9</v>
      </c>
      <c r="E1236" s="1">
        <v>33.33</v>
      </c>
      <c r="F1236" s="1">
        <v>37.23</v>
      </c>
    </row>
    <row r="1237" spans="1:6">
      <c r="A1237" s="1" t="s">
        <v>420</v>
      </c>
      <c r="B1237" s="3">
        <v>48360</v>
      </c>
      <c r="C1237" s="1">
        <v>66.67</v>
      </c>
      <c r="D1237" s="1">
        <v>2.60013</v>
      </c>
      <c r="E1237" s="1">
        <v>0</v>
      </c>
      <c r="F1237" s="1">
        <v>2.60013</v>
      </c>
    </row>
    <row r="1238" spans="1:6">
      <c r="A1238" s="1" t="s">
        <v>420</v>
      </c>
      <c r="B1238" s="3">
        <v>48544</v>
      </c>
      <c r="C1238" s="1">
        <v>33.34</v>
      </c>
      <c r="D1238" s="1">
        <v>2.60013</v>
      </c>
      <c r="E1238" s="1">
        <v>33.33</v>
      </c>
      <c r="F1238" s="1">
        <v>35.93013</v>
      </c>
    </row>
    <row r="1239" spans="1:6">
      <c r="A1239" s="1" t="s">
        <v>420</v>
      </c>
      <c r="B1239" s="3">
        <v>48725</v>
      </c>
      <c r="C1239" s="1">
        <v>33.34</v>
      </c>
      <c r="D1239" s="1">
        <v>1.30026</v>
      </c>
      <c r="E1239" s="1">
        <v>0</v>
      </c>
      <c r="F1239" s="1">
        <v>1.30026</v>
      </c>
    </row>
    <row r="1240" spans="1:6">
      <c r="A1240" s="1" t="s">
        <v>420</v>
      </c>
      <c r="B1240" s="3">
        <v>48911</v>
      </c>
      <c r="C1240" s="1">
        <v>0</v>
      </c>
      <c r="D1240" s="1">
        <v>1.30026</v>
      </c>
      <c r="E1240" s="1">
        <v>33.34</v>
      </c>
      <c r="F1240" s="1">
        <v>34.64026</v>
      </c>
    </row>
    <row r="1241" spans="1:6">
      <c r="A1241" s="1" t="s">
        <v>421</v>
      </c>
      <c r="B1241" s="3">
        <v>46184</v>
      </c>
      <c r="C1241" s="1">
        <v>100</v>
      </c>
      <c r="D1241" s="1">
        <v>4.05</v>
      </c>
      <c r="E1241" s="1">
        <v>0</v>
      </c>
      <c r="F1241" s="1">
        <v>4.05</v>
      </c>
    </row>
    <row r="1242" spans="1:6">
      <c r="A1242" s="1" t="s">
        <v>421</v>
      </c>
      <c r="B1242" s="3">
        <v>46367</v>
      </c>
      <c r="C1242" s="1">
        <v>100</v>
      </c>
      <c r="D1242" s="1">
        <v>4.05</v>
      </c>
      <c r="E1242" s="1">
        <v>0</v>
      </c>
      <c r="F1242" s="1">
        <v>4.05</v>
      </c>
    </row>
    <row r="1243" spans="1:6">
      <c r="A1243" s="1" t="s">
        <v>421</v>
      </c>
      <c r="B1243" s="3">
        <v>46549</v>
      </c>
      <c r="C1243" s="1">
        <v>100</v>
      </c>
      <c r="D1243" s="1">
        <v>4.05</v>
      </c>
      <c r="E1243" s="1">
        <v>0</v>
      </c>
      <c r="F1243" s="1">
        <v>4.05</v>
      </c>
    </row>
    <row r="1244" spans="1:6">
      <c r="A1244" s="1" t="s">
        <v>421</v>
      </c>
      <c r="B1244" s="3">
        <v>46734</v>
      </c>
      <c r="C1244" s="1">
        <v>100</v>
      </c>
      <c r="D1244" s="1">
        <v>4.05</v>
      </c>
      <c r="E1244" s="1">
        <v>0</v>
      </c>
      <c r="F1244" s="1">
        <v>4.05</v>
      </c>
    </row>
    <row r="1245" spans="1:6">
      <c r="A1245" s="1" t="s">
        <v>421</v>
      </c>
      <c r="B1245" s="3">
        <v>46916</v>
      </c>
      <c r="C1245" s="1">
        <v>100</v>
      </c>
      <c r="D1245" s="1">
        <v>4.05</v>
      </c>
      <c r="E1245" s="1">
        <v>0</v>
      </c>
      <c r="F1245" s="1">
        <v>4.05</v>
      </c>
    </row>
    <row r="1246" spans="1:6">
      <c r="A1246" s="1" t="s">
        <v>421</v>
      </c>
      <c r="B1246" s="3">
        <v>47098</v>
      </c>
      <c r="C1246" s="1">
        <v>100</v>
      </c>
      <c r="D1246" s="1">
        <v>4.05</v>
      </c>
      <c r="E1246" s="1">
        <v>0</v>
      </c>
      <c r="F1246" s="1">
        <v>4.05</v>
      </c>
    </row>
    <row r="1247" spans="1:6">
      <c r="A1247" s="1" t="s">
        <v>421</v>
      </c>
      <c r="B1247" s="3">
        <v>47280</v>
      </c>
      <c r="C1247" s="1">
        <v>100</v>
      </c>
      <c r="D1247" s="1">
        <v>4.05</v>
      </c>
      <c r="E1247" s="1">
        <v>0</v>
      </c>
      <c r="F1247" s="1">
        <v>4.05</v>
      </c>
    </row>
    <row r="1248" spans="1:6">
      <c r="A1248" s="1" t="s">
        <v>421</v>
      </c>
      <c r="B1248" s="3">
        <v>47463</v>
      </c>
      <c r="C1248" s="1">
        <v>100</v>
      </c>
      <c r="D1248" s="1">
        <v>4.05</v>
      </c>
      <c r="E1248" s="1">
        <v>0</v>
      </c>
      <c r="F1248" s="1">
        <v>4.05</v>
      </c>
    </row>
    <row r="1249" spans="1:6">
      <c r="A1249" s="1" t="s">
        <v>421</v>
      </c>
      <c r="B1249" s="3">
        <v>47645</v>
      </c>
      <c r="C1249" s="1">
        <v>100</v>
      </c>
      <c r="D1249" s="1">
        <v>4.05</v>
      </c>
      <c r="E1249" s="1">
        <v>0</v>
      </c>
      <c r="F1249" s="1">
        <v>4.05</v>
      </c>
    </row>
    <row r="1250" spans="1:6">
      <c r="A1250" s="1" t="s">
        <v>421</v>
      </c>
      <c r="B1250" s="3">
        <v>47828</v>
      </c>
      <c r="C1250" s="1">
        <v>100</v>
      </c>
      <c r="D1250" s="1">
        <v>4.05</v>
      </c>
      <c r="E1250" s="1">
        <v>0</v>
      </c>
      <c r="F1250" s="1">
        <v>4.05</v>
      </c>
    </row>
    <row r="1251" spans="1:6">
      <c r="A1251" s="1" t="s">
        <v>421</v>
      </c>
      <c r="B1251" s="3">
        <v>48010</v>
      </c>
      <c r="C1251" s="1">
        <v>100</v>
      </c>
      <c r="D1251" s="1">
        <v>4.05</v>
      </c>
      <c r="E1251" s="1">
        <v>0</v>
      </c>
      <c r="F1251" s="1">
        <v>4.05</v>
      </c>
    </row>
    <row r="1252" spans="1:6">
      <c r="A1252" s="1" t="s">
        <v>421</v>
      </c>
      <c r="B1252" s="3">
        <v>48193</v>
      </c>
      <c r="C1252" s="1">
        <v>75</v>
      </c>
      <c r="D1252" s="1">
        <v>4.05</v>
      </c>
      <c r="E1252" s="1">
        <v>25</v>
      </c>
      <c r="F1252" s="1">
        <v>29.05</v>
      </c>
    </row>
    <row r="1253" spans="1:6">
      <c r="A1253" s="1" t="s">
        <v>421</v>
      </c>
      <c r="B1253" s="3">
        <v>48376</v>
      </c>
      <c r="C1253" s="1">
        <v>75</v>
      </c>
      <c r="D1253" s="1">
        <v>3.0375</v>
      </c>
      <c r="E1253" s="1">
        <v>0</v>
      </c>
      <c r="F1253" s="1">
        <v>3.0375</v>
      </c>
    </row>
    <row r="1254" spans="1:6">
      <c r="A1254" s="1" t="s">
        <v>421</v>
      </c>
      <c r="B1254" s="3">
        <v>48561</v>
      </c>
      <c r="C1254" s="1">
        <v>50</v>
      </c>
      <c r="D1254" s="1">
        <v>3.0375</v>
      </c>
      <c r="E1254" s="1">
        <v>25</v>
      </c>
      <c r="F1254" s="1">
        <v>28.0375</v>
      </c>
    </row>
    <row r="1255" spans="1:6">
      <c r="A1255" s="1" t="s">
        <v>421</v>
      </c>
      <c r="B1255" s="3">
        <v>48743</v>
      </c>
      <c r="C1255" s="1">
        <v>50</v>
      </c>
      <c r="D1255" s="1">
        <v>2.025</v>
      </c>
      <c r="E1255" s="1">
        <v>0</v>
      </c>
      <c r="F1255" s="1">
        <v>2.025</v>
      </c>
    </row>
    <row r="1256" spans="1:6">
      <c r="A1256" s="1" t="s">
        <v>421</v>
      </c>
      <c r="B1256" s="3">
        <v>48925</v>
      </c>
      <c r="C1256" s="1">
        <v>25</v>
      </c>
      <c r="D1256" s="1">
        <v>2.025</v>
      </c>
      <c r="E1256" s="1">
        <v>25</v>
      </c>
      <c r="F1256" s="1">
        <v>27.025</v>
      </c>
    </row>
    <row r="1257" spans="1:6">
      <c r="A1257" s="1" t="s">
        <v>421</v>
      </c>
      <c r="B1257" s="3">
        <v>49107</v>
      </c>
      <c r="C1257" s="1">
        <v>25</v>
      </c>
      <c r="D1257" s="1">
        <v>1.0125</v>
      </c>
      <c r="E1257" s="1">
        <v>0</v>
      </c>
      <c r="F1257" s="1">
        <v>1.0125</v>
      </c>
    </row>
    <row r="1258" spans="1:6">
      <c r="A1258" s="1" t="s">
        <v>421</v>
      </c>
      <c r="B1258" s="3">
        <v>49289</v>
      </c>
      <c r="C1258" s="1">
        <v>0</v>
      </c>
      <c r="D1258" s="1">
        <v>1.0125</v>
      </c>
      <c r="E1258" s="1">
        <v>25</v>
      </c>
      <c r="F1258" s="1">
        <v>26.0125</v>
      </c>
    </row>
    <row r="1259" spans="1:6">
      <c r="A1259" s="1" t="s">
        <v>422</v>
      </c>
      <c r="B1259" s="3">
        <v>46237</v>
      </c>
      <c r="C1259" s="1">
        <v>100</v>
      </c>
      <c r="D1259" s="1">
        <v>4.3</v>
      </c>
      <c r="E1259" s="1">
        <v>0</v>
      </c>
      <c r="F1259" s="1">
        <v>4.3</v>
      </c>
    </row>
    <row r="1260" spans="1:6">
      <c r="A1260" s="1" t="s">
        <v>422</v>
      </c>
      <c r="B1260" s="3">
        <v>46421</v>
      </c>
      <c r="C1260" s="1">
        <v>100</v>
      </c>
      <c r="D1260" s="1">
        <v>4.3</v>
      </c>
      <c r="E1260" s="1">
        <v>0</v>
      </c>
      <c r="F1260" s="1">
        <v>4.3</v>
      </c>
    </row>
    <row r="1261" spans="1:6">
      <c r="A1261" s="1" t="s">
        <v>422</v>
      </c>
      <c r="B1261" s="3">
        <v>46602</v>
      </c>
      <c r="C1261" s="1">
        <v>100</v>
      </c>
      <c r="D1261" s="1">
        <v>4.3</v>
      </c>
      <c r="E1261" s="1">
        <v>0</v>
      </c>
      <c r="F1261" s="1">
        <v>4.3</v>
      </c>
    </row>
    <row r="1262" spans="1:6">
      <c r="A1262" s="1" t="s">
        <v>422</v>
      </c>
      <c r="B1262" s="3">
        <v>46786</v>
      </c>
      <c r="C1262" s="1">
        <v>100</v>
      </c>
      <c r="D1262" s="1">
        <v>4.3</v>
      </c>
      <c r="E1262" s="1">
        <v>0</v>
      </c>
      <c r="F1262" s="1">
        <v>4.3</v>
      </c>
    </row>
    <row r="1263" spans="1:6">
      <c r="A1263" s="1" t="s">
        <v>422</v>
      </c>
      <c r="B1263" s="3">
        <v>46968</v>
      </c>
      <c r="C1263" s="1">
        <v>100</v>
      </c>
      <c r="D1263" s="1">
        <v>4.3</v>
      </c>
      <c r="E1263" s="1">
        <v>0</v>
      </c>
      <c r="F1263" s="1">
        <v>4.3</v>
      </c>
    </row>
    <row r="1264" spans="1:6">
      <c r="A1264" s="1" t="s">
        <v>422</v>
      </c>
      <c r="B1264" s="3">
        <v>47154</v>
      </c>
      <c r="C1264" s="1">
        <v>100</v>
      </c>
      <c r="D1264" s="1">
        <v>4.3</v>
      </c>
      <c r="E1264" s="1">
        <v>0</v>
      </c>
      <c r="F1264" s="1">
        <v>4.3</v>
      </c>
    </row>
    <row r="1265" spans="1:6">
      <c r="A1265" s="1" t="s">
        <v>422</v>
      </c>
      <c r="B1265" s="3">
        <v>47333</v>
      </c>
      <c r="C1265" s="1">
        <v>100</v>
      </c>
      <c r="D1265" s="1">
        <v>4.3</v>
      </c>
      <c r="E1265" s="1">
        <v>0</v>
      </c>
      <c r="F1265" s="1">
        <v>4.3</v>
      </c>
    </row>
    <row r="1266" spans="1:6">
      <c r="A1266" s="1" t="s">
        <v>422</v>
      </c>
      <c r="B1266" s="3">
        <v>47518</v>
      </c>
      <c r="C1266" s="1">
        <v>100</v>
      </c>
      <c r="D1266" s="1">
        <v>4.3</v>
      </c>
      <c r="E1266" s="1">
        <v>0</v>
      </c>
      <c r="F1266" s="1">
        <v>4.3</v>
      </c>
    </row>
    <row r="1267" spans="1:6">
      <c r="A1267" s="1" t="s">
        <v>422</v>
      </c>
      <c r="B1267" s="3">
        <v>47700</v>
      </c>
      <c r="C1267" s="1">
        <v>100</v>
      </c>
      <c r="D1267" s="1">
        <v>4.3</v>
      </c>
      <c r="E1267" s="1">
        <v>0</v>
      </c>
      <c r="F1267" s="1">
        <v>4.3</v>
      </c>
    </row>
    <row r="1268" spans="1:6">
      <c r="A1268" s="1" t="s">
        <v>422</v>
      </c>
      <c r="B1268" s="3">
        <v>47882</v>
      </c>
      <c r="C1268" s="1">
        <v>100</v>
      </c>
      <c r="D1268" s="1">
        <v>4.3</v>
      </c>
      <c r="E1268" s="1">
        <v>0</v>
      </c>
      <c r="F1268" s="1">
        <v>4.3</v>
      </c>
    </row>
    <row r="1269" spans="1:6">
      <c r="A1269" s="1" t="s">
        <v>422</v>
      </c>
      <c r="B1269" s="3">
        <v>48064</v>
      </c>
      <c r="C1269" s="1">
        <v>100</v>
      </c>
      <c r="D1269" s="1">
        <v>4.3</v>
      </c>
      <c r="E1269" s="1">
        <v>0</v>
      </c>
      <c r="F1269" s="1">
        <v>4.3</v>
      </c>
    </row>
    <row r="1270" spans="1:6">
      <c r="A1270" s="1" t="s">
        <v>422</v>
      </c>
      <c r="B1270" s="3">
        <v>48247</v>
      </c>
      <c r="C1270" s="1">
        <v>100</v>
      </c>
      <c r="D1270" s="1">
        <v>4.3</v>
      </c>
      <c r="E1270" s="1">
        <v>0</v>
      </c>
      <c r="F1270" s="1">
        <v>4.3</v>
      </c>
    </row>
    <row r="1271" spans="1:6">
      <c r="A1271" s="1" t="s">
        <v>422</v>
      </c>
      <c r="B1271" s="3">
        <v>48429</v>
      </c>
      <c r="C1271" s="1">
        <v>100</v>
      </c>
      <c r="D1271" s="1">
        <v>4.3</v>
      </c>
      <c r="E1271" s="1">
        <v>0</v>
      </c>
      <c r="F1271" s="1">
        <v>4.3</v>
      </c>
    </row>
    <row r="1272" spans="1:6">
      <c r="A1272" s="1" t="s">
        <v>422</v>
      </c>
      <c r="B1272" s="3">
        <v>48613</v>
      </c>
      <c r="C1272" s="1">
        <v>67</v>
      </c>
      <c r="D1272" s="1">
        <v>4.3</v>
      </c>
      <c r="E1272" s="1">
        <v>33</v>
      </c>
      <c r="F1272" s="1">
        <v>37.3</v>
      </c>
    </row>
    <row r="1273" spans="1:6">
      <c r="A1273" s="1" t="s">
        <v>422</v>
      </c>
      <c r="B1273" s="3">
        <v>48794</v>
      </c>
      <c r="C1273" s="1">
        <v>67</v>
      </c>
      <c r="D1273" s="1">
        <v>2.881</v>
      </c>
      <c r="E1273" s="1">
        <v>0</v>
      </c>
      <c r="F1273" s="1">
        <v>2.881</v>
      </c>
    </row>
    <row r="1274" spans="1:6">
      <c r="A1274" s="1" t="s">
        <v>422</v>
      </c>
      <c r="B1274" s="3">
        <v>48978</v>
      </c>
      <c r="C1274" s="1">
        <v>34</v>
      </c>
      <c r="D1274" s="1">
        <v>2.881</v>
      </c>
      <c r="E1274" s="1">
        <v>33</v>
      </c>
      <c r="F1274" s="1">
        <v>35.881</v>
      </c>
    </row>
    <row r="1275" spans="1:6">
      <c r="A1275" s="1" t="s">
        <v>422</v>
      </c>
      <c r="B1275" s="3">
        <v>49159</v>
      </c>
      <c r="C1275" s="1">
        <v>34</v>
      </c>
      <c r="D1275" s="1">
        <v>1.462</v>
      </c>
      <c r="E1275" s="1">
        <v>0</v>
      </c>
      <c r="F1275" s="1">
        <v>1.462</v>
      </c>
    </row>
    <row r="1276" spans="1:6">
      <c r="A1276" s="1" t="s">
        <v>422</v>
      </c>
      <c r="B1276" s="3">
        <v>49345</v>
      </c>
      <c r="C1276" s="1">
        <v>0</v>
      </c>
      <c r="D1276" s="1">
        <v>1.462</v>
      </c>
      <c r="E1276" s="1">
        <v>34</v>
      </c>
      <c r="F1276" s="1">
        <v>35.462</v>
      </c>
    </row>
    <row r="1277" spans="1:6">
      <c r="A1277" s="1" t="s">
        <v>423</v>
      </c>
      <c r="B1277" s="3">
        <v>46232</v>
      </c>
      <c r="C1277" s="1">
        <v>100</v>
      </c>
      <c r="D1277" s="1">
        <v>2.3625</v>
      </c>
      <c r="E1277" s="1">
        <v>0</v>
      </c>
      <c r="F1277" s="1">
        <v>2.3625</v>
      </c>
    </row>
    <row r="1278" spans="1:6">
      <c r="A1278" s="1" t="s">
        <v>423</v>
      </c>
      <c r="B1278" s="3">
        <v>46324</v>
      </c>
      <c r="C1278" s="1">
        <v>100</v>
      </c>
      <c r="D1278" s="1">
        <v>2.3625</v>
      </c>
      <c r="E1278" s="1">
        <v>0</v>
      </c>
      <c r="F1278" s="1">
        <v>2.3625</v>
      </c>
    </row>
    <row r="1279" spans="1:6">
      <c r="A1279" s="1" t="s">
        <v>423</v>
      </c>
      <c r="B1279" s="3">
        <v>46416</v>
      </c>
      <c r="C1279" s="1">
        <v>100</v>
      </c>
      <c r="D1279" s="1">
        <v>2.3625</v>
      </c>
      <c r="E1279" s="1">
        <v>0</v>
      </c>
      <c r="F1279" s="1">
        <v>2.3625</v>
      </c>
    </row>
    <row r="1280" spans="1:6">
      <c r="A1280" s="1" t="s">
        <v>423</v>
      </c>
      <c r="B1280" s="3">
        <v>46506</v>
      </c>
      <c r="C1280" s="1">
        <v>100</v>
      </c>
      <c r="D1280" s="1">
        <v>2.3625</v>
      </c>
      <c r="E1280" s="1">
        <v>0</v>
      </c>
      <c r="F1280" s="1">
        <v>2.3625</v>
      </c>
    </row>
    <row r="1281" spans="1:6">
      <c r="A1281" s="1" t="s">
        <v>423</v>
      </c>
      <c r="B1281" s="3">
        <v>46597</v>
      </c>
      <c r="C1281" s="1">
        <v>100</v>
      </c>
      <c r="D1281" s="1">
        <v>2.3625</v>
      </c>
      <c r="E1281" s="1">
        <v>0</v>
      </c>
      <c r="F1281" s="1">
        <v>2.3625</v>
      </c>
    </row>
    <row r="1282" spans="1:6">
      <c r="A1282" s="1" t="s">
        <v>423</v>
      </c>
      <c r="B1282" s="3">
        <v>46689</v>
      </c>
      <c r="C1282" s="1">
        <v>100</v>
      </c>
      <c r="D1282" s="1">
        <v>2.3625</v>
      </c>
      <c r="E1282" s="1">
        <v>0</v>
      </c>
      <c r="F1282" s="1">
        <v>2.3625</v>
      </c>
    </row>
    <row r="1283" spans="1:6">
      <c r="A1283" s="1" t="s">
        <v>423</v>
      </c>
      <c r="B1283" s="3">
        <v>46783</v>
      </c>
      <c r="C1283" s="1">
        <v>100</v>
      </c>
      <c r="D1283" s="1">
        <v>2.3625</v>
      </c>
      <c r="E1283" s="1">
        <v>0</v>
      </c>
      <c r="F1283" s="1">
        <v>2.3625</v>
      </c>
    </row>
    <row r="1284" spans="1:6">
      <c r="A1284" s="1" t="s">
        <v>423</v>
      </c>
      <c r="B1284" s="3">
        <v>46875</v>
      </c>
      <c r="C1284" s="1">
        <v>100</v>
      </c>
      <c r="D1284" s="1">
        <v>2.3625</v>
      </c>
      <c r="E1284" s="1">
        <v>0</v>
      </c>
      <c r="F1284" s="1">
        <v>2.3625</v>
      </c>
    </row>
    <row r="1285" spans="1:6">
      <c r="A1285" s="1" t="s">
        <v>423</v>
      </c>
      <c r="B1285" s="3">
        <v>46965</v>
      </c>
      <c r="C1285" s="1">
        <v>100</v>
      </c>
      <c r="D1285" s="1">
        <v>2.3625</v>
      </c>
      <c r="E1285" s="1">
        <v>0</v>
      </c>
      <c r="F1285" s="1">
        <v>2.3625</v>
      </c>
    </row>
    <row r="1286" spans="1:6">
      <c r="A1286" s="1" t="s">
        <v>423</v>
      </c>
      <c r="B1286" s="3">
        <v>47056</v>
      </c>
      <c r="C1286" s="1">
        <v>100</v>
      </c>
      <c r="D1286" s="1">
        <v>2.3625</v>
      </c>
      <c r="E1286" s="1">
        <v>0</v>
      </c>
      <c r="F1286" s="1">
        <v>2.3625</v>
      </c>
    </row>
    <row r="1287" spans="1:6">
      <c r="A1287" s="1" t="s">
        <v>423</v>
      </c>
      <c r="B1287" s="3">
        <v>47147</v>
      </c>
      <c r="C1287" s="1">
        <v>100</v>
      </c>
      <c r="D1287" s="1">
        <v>2.3625</v>
      </c>
      <c r="E1287" s="1">
        <v>0</v>
      </c>
      <c r="F1287" s="1">
        <v>2.3625</v>
      </c>
    </row>
    <row r="1288" spans="1:6">
      <c r="A1288" s="1" t="s">
        <v>423</v>
      </c>
      <c r="B1288" s="3">
        <v>47238</v>
      </c>
      <c r="C1288" s="1">
        <v>100</v>
      </c>
      <c r="D1288" s="1">
        <v>2.3625</v>
      </c>
      <c r="E1288" s="1">
        <v>0</v>
      </c>
      <c r="F1288" s="1">
        <v>2.3625</v>
      </c>
    </row>
    <row r="1289" spans="1:6">
      <c r="A1289" s="1" t="s">
        <v>423</v>
      </c>
      <c r="B1289" s="3">
        <v>47329</v>
      </c>
      <c r="C1289" s="1">
        <v>96.4286</v>
      </c>
      <c r="D1289" s="1">
        <v>2.3625</v>
      </c>
      <c r="E1289" s="1">
        <v>3.5714</v>
      </c>
      <c r="F1289" s="1">
        <v>5.9339</v>
      </c>
    </row>
    <row r="1290" spans="1:6">
      <c r="A1290" s="1" t="s">
        <v>423</v>
      </c>
      <c r="B1290" s="3">
        <v>47420</v>
      </c>
      <c r="C1290" s="1">
        <v>92.8572</v>
      </c>
      <c r="D1290" s="1">
        <v>2.278126</v>
      </c>
      <c r="E1290" s="1">
        <v>3.5714</v>
      </c>
      <c r="F1290" s="1">
        <v>5.849526</v>
      </c>
    </row>
    <row r="1291" spans="1:6">
      <c r="A1291" s="1" t="s">
        <v>423</v>
      </c>
      <c r="B1291" s="3">
        <v>47512</v>
      </c>
      <c r="C1291" s="1">
        <v>89.2858</v>
      </c>
      <c r="D1291" s="1">
        <v>2.193751</v>
      </c>
      <c r="E1291" s="1">
        <v>3.5714</v>
      </c>
      <c r="F1291" s="1">
        <v>5.765151</v>
      </c>
    </row>
    <row r="1292" spans="1:6">
      <c r="A1292" s="1" t="s">
        <v>423</v>
      </c>
      <c r="B1292" s="3">
        <v>47602</v>
      </c>
      <c r="C1292" s="1">
        <v>85.7144</v>
      </c>
      <c r="D1292" s="1">
        <v>2.109377</v>
      </c>
      <c r="E1292" s="1">
        <v>3.5714</v>
      </c>
      <c r="F1292" s="1">
        <v>5.680777</v>
      </c>
    </row>
    <row r="1293" spans="1:6">
      <c r="A1293" s="1" t="s">
        <v>423</v>
      </c>
      <c r="B1293" s="3">
        <v>47693</v>
      </c>
      <c r="C1293" s="1">
        <v>82.143</v>
      </c>
      <c r="D1293" s="1">
        <v>2.025003</v>
      </c>
      <c r="E1293" s="1">
        <v>3.5714</v>
      </c>
      <c r="F1293" s="1">
        <v>5.596403</v>
      </c>
    </row>
    <row r="1294" spans="1:6">
      <c r="A1294" s="1" t="s">
        <v>423</v>
      </c>
      <c r="B1294" s="3">
        <v>47785</v>
      </c>
      <c r="C1294" s="1">
        <v>78.5716</v>
      </c>
      <c r="D1294" s="1">
        <v>1.940628</v>
      </c>
      <c r="E1294" s="1">
        <v>3.5714</v>
      </c>
      <c r="F1294" s="1">
        <v>5.512028</v>
      </c>
    </row>
    <row r="1295" spans="1:6">
      <c r="A1295" s="1" t="s">
        <v>423</v>
      </c>
      <c r="B1295" s="3">
        <v>47877</v>
      </c>
      <c r="C1295" s="1">
        <v>75.0002</v>
      </c>
      <c r="D1295" s="1">
        <v>1.856254</v>
      </c>
      <c r="E1295" s="1">
        <v>3.5714</v>
      </c>
      <c r="F1295" s="1">
        <v>5.427654</v>
      </c>
    </row>
    <row r="1296" spans="1:6">
      <c r="A1296" s="1" t="s">
        <v>423</v>
      </c>
      <c r="B1296" s="3">
        <v>47967</v>
      </c>
      <c r="C1296" s="1">
        <v>71.4288</v>
      </c>
      <c r="D1296" s="1">
        <v>1.77188</v>
      </c>
      <c r="E1296" s="1">
        <v>3.5714</v>
      </c>
      <c r="F1296" s="1">
        <v>5.34328</v>
      </c>
    </row>
    <row r="1297" spans="1:6">
      <c r="A1297" s="1" t="s">
        <v>423</v>
      </c>
      <c r="B1297" s="3">
        <v>48058</v>
      </c>
      <c r="C1297" s="1">
        <v>67.8574</v>
      </c>
      <c r="D1297" s="1">
        <v>1.687505</v>
      </c>
      <c r="E1297" s="1">
        <v>3.5714</v>
      </c>
      <c r="F1297" s="1">
        <v>5.258905</v>
      </c>
    </row>
    <row r="1298" spans="1:6">
      <c r="A1298" s="1" t="s">
        <v>423</v>
      </c>
      <c r="B1298" s="3">
        <v>48150</v>
      </c>
      <c r="C1298" s="1">
        <v>64.286</v>
      </c>
      <c r="D1298" s="1">
        <v>1.603131</v>
      </c>
      <c r="E1298" s="1">
        <v>3.5714</v>
      </c>
      <c r="F1298" s="1">
        <v>5.174531</v>
      </c>
    </row>
    <row r="1299" spans="1:6">
      <c r="A1299" s="1" t="s">
        <v>423</v>
      </c>
      <c r="B1299" s="3">
        <v>48242</v>
      </c>
      <c r="C1299" s="1">
        <v>60.7146</v>
      </c>
      <c r="D1299" s="1">
        <v>1.518757</v>
      </c>
      <c r="E1299" s="1">
        <v>3.5714</v>
      </c>
      <c r="F1299" s="1">
        <v>5.090157</v>
      </c>
    </row>
    <row r="1300" spans="1:6">
      <c r="A1300" s="1" t="s">
        <v>423</v>
      </c>
      <c r="B1300" s="3">
        <v>48333</v>
      </c>
      <c r="C1300" s="1">
        <v>57.1432</v>
      </c>
      <c r="D1300" s="1">
        <v>1.434382</v>
      </c>
      <c r="E1300" s="1">
        <v>3.5714</v>
      </c>
      <c r="F1300" s="1">
        <v>5.005782</v>
      </c>
    </row>
    <row r="1301" spans="1:6">
      <c r="A1301" s="1" t="s">
        <v>423</v>
      </c>
      <c r="B1301" s="3">
        <v>48424</v>
      </c>
      <c r="C1301" s="1">
        <v>53.5718</v>
      </c>
      <c r="D1301" s="1">
        <v>1.350008</v>
      </c>
      <c r="E1301" s="1">
        <v>3.5714</v>
      </c>
      <c r="F1301" s="1">
        <v>4.921408</v>
      </c>
    </row>
    <row r="1302" spans="1:6">
      <c r="A1302" s="1" t="s">
        <v>423</v>
      </c>
      <c r="B1302" s="3">
        <v>48516</v>
      </c>
      <c r="C1302" s="1">
        <v>50.0004</v>
      </c>
      <c r="D1302" s="1">
        <v>1.265634</v>
      </c>
      <c r="E1302" s="1">
        <v>3.5714</v>
      </c>
      <c r="F1302" s="1">
        <v>4.837034</v>
      </c>
    </row>
    <row r="1303" spans="1:6">
      <c r="A1303" s="1" t="s">
        <v>423</v>
      </c>
      <c r="B1303" s="3">
        <v>48610</v>
      </c>
      <c r="C1303" s="1">
        <v>46.429</v>
      </c>
      <c r="D1303" s="1">
        <v>1.181259</v>
      </c>
      <c r="E1303" s="1">
        <v>3.5714</v>
      </c>
      <c r="F1303" s="1">
        <v>4.752659</v>
      </c>
    </row>
    <row r="1304" spans="1:6">
      <c r="A1304" s="1" t="s">
        <v>423</v>
      </c>
      <c r="B1304" s="3">
        <v>48698</v>
      </c>
      <c r="C1304" s="1">
        <v>42.8576</v>
      </c>
      <c r="D1304" s="1">
        <v>1.096885</v>
      </c>
      <c r="E1304" s="1">
        <v>3.5714</v>
      </c>
      <c r="F1304" s="1">
        <v>4.668285</v>
      </c>
    </row>
    <row r="1305" spans="1:6">
      <c r="A1305" s="1" t="s">
        <v>423</v>
      </c>
      <c r="B1305" s="3">
        <v>48789</v>
      </c>
      <c r="C1305" s="1">
        <v>39.2862</v>
      </c>
      <c r="D1305" s="1">
        <v>1.012511</v>
      </c>
      <c r="E1305" s="1">
        <v>3.5714</v>
      </c>
      <c r="F1305" s="1">
        <v>4.583911</v>
      </c>
    </row>
    <row r="1306" spans="1:6">
      <c r="A1306" s="1" t="s">
        <v>423</v>
      </c>
      <c r="B1306" s="3">
        <v>48883</v>
      </c>
      <c r="C1306" s="1">
        <v>35.7148</v>
      </c>
      <c r="D1306" s="1">
        <v>0.928136</v>
      </c>
      <c r="E1306" s="1">
        <v>3.5714</v>
      </c>
      <c r="F1306" s="1">
        <v>4.499536</v>
      </c>
    </row>
    <row r="1307" spans="1:6">
      <c r="A1307" s="1" t="s">
        <v>423</v>
      </c>
      <c r="B1307" s="3">
        <v>48974</v>
      </c>
      <c r="C1307" s="1">
        <v>32.1434</v>
      </c>
      <c r="D1307" s="1">
        <v>0.843762</v>
      </c>
      <c r="E1307" s="1">
        <v>3.5714</v>
      </c>
      <c r="F1307" s="1">
        <v>4.415162</v>
      </c>
    </row>
    <row r="1308" spans="1:6">
      <c r="A1308" s="1" t="s">
        <v>423</v>
      </c>
      <c r="B1308" s="3">
        <v>49066</v>
      </c>
      <c r="C1308" s="1">
        <v>28.572</v>
      </c>
      <c r="D1308" s="1">
        <v>0.759388</v>
      </c>
      <c r="E1308" s="1">
        <v>3.5714</v>
      </c>
      <c r="F1308" s="1">
        <v>4.330788</v>
      </c>
    </row>
    <row r="1309" spans="1:6">
      <c r="A1309" s="1" t="s">
        <v>423</v>
      </c>
      <c r="B1309" s="3">
        <v>49156</v>
      </c>
      <c r="C1309" s="1">
        <v>25.0006</v>
      </c>
      <c r="D1309" s="1">
        <v>0.675013</v>
      </c>
      <c r="E1309" s="1">
        <v>3.5714</v>
      </c>
      <c r="F1309" s="1">
        <v>4.246414</v>
      </c>
    </row>
    <row r="1310" spans="1:6">
      <c r="A1310" s="1" t="s">
        <v>423</v>
      </c>
      <c r="B1310" s="3">
        <v>49247</v>
      </c>
      <c r="C1310" s="1">
        <v>21.4292</v>
      </c>
      <c r="D1310" s="1">
        <v>0.590639</v>
      </c>
      <c r="E1310" s="1">
        <v>3.5714</v>
      </c>
      <c r="F1310" s="1">
        <v>4.162039</v>
      </c>
    </row>
    <row r="1311" spans="1:6">
      <c r="A1311" s="1" t="s">
        <v>423</v>
      </c>
      <c r="B1311" s="3">
        <v>49338</v>
      </c>
      <c r="C1311" s="1">
        <v>17.8578</v>
      </c>
      <c r="D1311" s="1">
        <v>0.506265</v>
      </c>
      <c r="E1311" s="1">
        <v>3.5714</v>
      </c>
      <c r="F1311" s="1">
        <v>4.077665</v>
      </c>
    </row>
    <row r="1312" spans="1:6">
      <c r="A1312" s="1" t="s">
        <v>423</v>
      </c>
      <c r="B1312" s="3">
        <v>49429</v>
      </c>
      <c r="C1312" s="1">
        <v>14.2864</v>
      </c>
      <c r="D1312" s="1">
        <v>0.421891</v>
      </c>
      <c r="E1312" s="1">
        <v>3.5714</v>
      </c>
      <c r="F1312" s="1">
        <v>3.993291</v>
      </c>
    </row>
    <row r="1313" spans="1:6">
      <c r="A1313" s="1" t="s">
        <v>423</v>
      </c>
      <c r="B1313" s="3">
        <v>49520</v>
      </c>
      <c r="C1313" s="1">
        <v>10.715</v>
      </c>
      <c r="D1313" s="1">
        <v>0.337516</v>
      </c>
      <c r="E1313" s="1">
        <v>3.5714</v>
      </c>
      <c r="F1313" s="1">
        <v>3.908916</v>
      </c>
    </row>
    <row r="1314" spans="1:6">
      <c r="A1314" s="1" t="s">
        <v>423</v>
      </c>
      <c r="B1314" s="3">
        <v>49611</v>
      </c>
      <c r="C1314" s="1">
        <v>7.1436</v>
      </c>
      <c r="D1314" s="1">
        <v>0.253142</v>
      </c>
      <c r="E1314" s="1">
        <v>3.5714</v>
      </c>
      <c r="F1314" s="1">
        <v>3.824542</v>
      </c>
    </row>
    <row r="1315" spans="1:6">
      <c r="A1315" s="1" t="s">
        <v>423</v>
      </c>
      <c r="B1315" s="3">
        <v>49703</v>
      </c>
      <c r="C1315" s="1">
        <v>3.5722</v>
      </c>
      <c r="D1315" s="1">
        <v>0.168768</v>
      </c>
      <c r="E1315" s="1">
        <v>3.5714</v>
      </c>
      <c r="F1315" s="1">
        <v>3.740168</v>
      </c>
    </row>
    <row r="1316" spans="1:6">
      <c r="A1316" s="1" t="s">
        <v>423</v>
      </c>
      <c r="B1316" s="3">
        <v>49794</v>
      </c>
      <c r="C1316" s="1">
        <v>0</v>
      </c>
      <c r="D1316" s="1">
        <v>0.084393</v>
      </c>
      <c r="E1316" s="1">
        <v>3.5722</v>
      </c>
      <c r="F1316" s="1">
        <v>3.656593</v>
      </c>
    </row>
    <row r="1317" spans="1:6">
      <c r="A1317" s="1" t="s">
        <v>424</v>
      </c>
      <c r="B1317" s="3">
        <v>46339</v>
      </c>
      <c r="C1317" s="1">
        <v>100</v>
      </c>
      <c r="D1317" s="1">
        <v>3.525</v>
      </c>
      <c r="E1317" s="1">
        <v>0</v>
      </c>
      <c r="F1317" s="1">
        <v>3.525</v>
      </c>
    </row>
    <row r="1318" spans="1:6">
      <c r="A1318" s="1" t="s">
        <v>424</v>
      </c>
      <c r="B1318" s="3">
        <v>46520</v>
      </c>
      <c r="C1318" s="1">
        <v>100</v>
      </c>
      <c r="D1318" s="1">
        <v>3.525</v>
      </c>
      <c r="E1318" s="1">
        <v>0</v>
      </c>
      <c r="F1318" s="1">
        <v>3.525</v>
      </c>
    </row>
    <row r="1319" spans="1:6">
      <c r="A1319" s="1" t="s">
        <v>424</v>
      </c>
      <c r="B1319" s="3">
        <v>46706</v>
      </c>
      <c r="C1319" s="1">
        <v>100</v>
      </c>
      <c r="D1319" s="1">
        <v>3.525</v>
      </c>
      <c r="E1319" s="1">
        <v>0</v>
      </c>
      <c r="F1319" s="1">
        <v>3.525</v>
      </c>
    </row>
    <row r="1320" spans="1:6">
      <c r="A1320" s="1" t="s">
        <v>424</v>
      </c>
      <c r="B1320" s="3">
        <v>46888</v>
      </c>
      <c r="C1320" s="1">
        <v>100</v>
      </c>
      <c r="D1320" s="1">
        <v>3.525</v>
      </c>
      <c r="E1320" s="1">
        <v>0</v>
      </c>
      <c r="F1320" s="1">
        <v>3.525</v>
      </c>
    </row>
    <row r="1321" spans="1:6">
      <c r="A1321" s="1" t="s">
        <v>424</v>
      </c>
      <c r="B1321" s="3">
        <v>47070</v>
      </c>
      <c r="C1321" s="1">
        <v>100</v>
      </c>
      <c r="D1321" s="1">
        <v>3.525</v>
      </c>
      <c r="E1321" s="1">
        <v>0</v>
      </c>
      <c r="F1321" s="1">
        <v>3.525</v>
      </c>
    </row>
    <row r="1322" spans="1:6">
      <c r="A1322" s="1" t="s">
        <v>424</v>
      </c>
      <c r="B1322" s="3">
        <v>47252</v>
      </c>
      <c r="C1322" s="1">
        <v>100</v>
      </c>
      <c r="D1322" s="1">
        <v>3.525</v>
      </c>
      <c r="E1322" s="1">
        <v>0</v>
      </c>
      <c r="F1322" s="1">
        <v>3.525</v>
      </c>
    </row>
    <row r="1323" spans="1:6">
      <c r="A1323" s="1" t="s">
        <v>424</v>
      </c>
      <c r="B1323" s="3">
        <v>47435</v>
      </c>
      <c r="C1323" s="1">
        <v>100</v>
      </c>
      <c r="D1323" s="1">
        <v>3.525</v>
      </c>
      <c r="E1323" s="1">
        <v>0</v>
      </c>
      <c r="F1323" s="1">
        <v>3.525</v>
      </c>
    </row>
    <row r="1324" spans="1:6">
      <c r="A1324" s="1" t="s">
        <v>424</v>
      </c>
      <c r="B1324" s="3">
        <v>47616</v>
      </c>
      <c r="C1324" s="1">
        <v>100</v>
      </c>
      <c r="D1324" s="1">
        <v>3.525</v>
      </c>
      <c r="E1324" s="1">
        <v>0</v>
      </c>
      <c r="F1324" s="1">
        <v>3.525</v>
      </c>
    </row>
    <row r="1325" spans="1:6">
      <c r="A1325" s="1" t="s">
        <v>424</v>
      </c>
      <c r="B1325" s="3">
        <v>47800</v>
      </c>
      <c r="C1325" s="1">
        <v>100</v>
      </c>
      <c r="D1325" s="1">
        <v>3.525</v>
      </c>
      <c r="E1325" s="1">
        <v>0</v>
      </c>
      <c r="F1325" s="1">
        <v>3.525</v>
      </c>
    </row>
    <row r="1326" spans="1:6">
      <c r="A1326" s="1" t="s">
        <v>424</v>
      </c>
      <c r="B1326" s="3">
        <v>47981</v>
      </c>
      <c r="C1326" s="1">
        <v>100</v>
      </c>
      <c r="D1326" s="1">
        <v>3.525</v>
      </c>
      <c r="E1326" s="1">
        <v>0</v>
      </c>
      <c r="F1326" s="1">
        <v>3.525</v>
      </c>
    </row>
    <row r="1327" spans="1:6">
      <c r="A1327" s="1" t="s">
        <v>424</v>
      </c>
      <c r="B1327" s="3">
        <v>48165</v>
      </c>
      <c r="C1327" s="1">
        <v>100</v>
      </c>
      <c r="D1327" s="1">
        <v>3.525</v>
      </c>
      <c r="E1327" s="1">
        <v>0</v>
      </c>
      <c r="F1327" s="1">
        <v>3.525</v>
      </c>
    </row>
    <row r="1328" spans="1:6">
      <c r="A1328" s="1" t="s">
        <v>424</v>
      </c>
      <c r="B1328" s="3">
        <v>48347</v>
      </c>
      <c r="C1328" s="1">
        <v>100</v>
      </c>
      <c r="D1328" s="1">
        <v>3.525</v>
      </c>
      <c r="E1328" s="1">
        <v>0</v>
      </c>
      <c r="F1328" s="1">
        <v>3.525</v>
      </c>
    </row>
    <row r="1329" spans="1:6">
      <c r="A1329" s="1" t="s">
        <v>424</v>
      </c>
      <c r="B1329" s="3">
        <v>48533</v>
      </c>
      <c r="C1329" s="1">
        <v>100</v>
      </c>
      <c r="D1329" s="1">
        <v>3.525</v>
      </c>
      <c r="E1329" s="1">
        <v>0</v>
      </c>
      <c r="F1329" s="1">
        <v>3.525</v>
      </c>
    </row>
    <row r="1330" spans="1:6">
      <c r="A1330" s="1" t="s">
        <v>424</v>
      </c>
      <c r="B1330" s="3">
        <v>48712</v>
      </c>
      <c r="C1330" s="1">
        <v>100</v>
      </c>
      <c r="D1330" s="1">
        <v>3.525</v>
      </c>
      <c r="E1330" s="1">
        <v>0</v>
      </c>
      <c r="F1330" s="1">
        <v>3.525</v>
      </c>
    </row>
    <row r="1331" spans="1:6">
      <c r="A1331" s="1" t="s">
        <v>424</v>
      </c>
      <c r="B1331" s="3">
        <v>48897</v>
      </c>
      <c r="C1331" s="1">
        <v>100</v>
      </c>
      <c r="D1331" s="1">
        <v>3.525</v>
      </c>
      <c r="E1331" s="1">
        <v>0</v>
      </c>
      <c r="F1331" s="1">
        <v>3.525</v>
      </c>
    </row>
    <row r="1332" spans="1:6">
      <c r="A1332" s="1" t="s">
        <v>424</v>
      </c>
      <c r="B1332" s="3">
        <v>49079</v>
      </c>
      <c r="C1332" s="1">
        <v>66.67</v>
      </c>
      <c r="D1332" s="1">
        <v>3.525</v>
      </c>
      <c r="E1332" s="1">
        <v>33.33</v>
      </c>
      <c r="F1332" s="1">
        <v>36.855</v>
      </c>
    </row>
    <row r="1333" spans="1:6">
      <c r="A1333" s="1" t="s">
        <v>424</v>
      </c>
      <c r="B1333" s="3">
        <v>49261</v>
      </c>
      <c r="C1333" s="1">
        <v>66.67</v>
      </c>
      <c r="D1333" s="1">
        <v>2.350117</v>
      </c>
      <c r="E1333" s="1">
        <v>0</v>
      </c>
      <c r="F1333" s="1">
        <v>2.350117</v>
      </c>
    </row>
    <row r="1334" spans="1:6">
      <c r="A1334" s="1" t="s">
        <v>424</v>
      </c>
      <c r="B1334" s="3">
        <v>49443</v>
      </c>
      <c r="C1334" s="1">
        <v>33.34</v>
      </c>
      <c r="D1334" s="1">
        <v>2.350117</v>
      </c>
      <c r="E1334" s="1">
        <v>33.33</v>
      </c>
      <c r="F1334" s="1">
        <v>35.680117</v>
      </c>
    </row>
    <row r="1335" spans="1:6">
      <c r="A1335" s="1" t="s">
        <v>424</v>
      </c>
      <c r="B1335" s="3">
        <v>49626</v>
      </c>
      <c r="C1335" s="1">
        <v>33.34</v>
      </c>
      <c r="D1335" s="1">
        <v>1.175235</v>
      </c>
      <c r="E1335" s="1">
        <v>0</v>
      </c>
      <c r="F1335" s="1">
        <v>1.175235</v>
      </c>
    </row>
    <row r="1336" spans="1:6">
      <c r="A1336" s="1" t="s">
        <v>424</v>
      </c>
      <c r="B1336" s="3">
        <v>49808</v>
      </c>
      <c r="C1336" s="1">
        <v>0</v>
      </c>
      <c r="D1336" s="1">
        <v>1.175235</v>
      </c>
      <c r="E1336" s="1">
        <v>33.34</v>
      </c>
      <c r="F1336" s="1">
        <v>34.515235</v>
      </c>
    </row>
    <row r="1337" spans="1:6">
      <c r="A1337" s="1" t="s">
        <v>425</v>
      </c>
      <c r="B1337" s="3">
        <v>44440</v>
      </c>
      <c r="C1337" s="1">
        <v>100</v>
      </c>
      <c r="D1337" s="1">
        <v>0.423611</v>
      </c>
      <c r="E1337" s="1">
        <v>0</v>
      </c>
      <c r="F1337" s="1">
        <v>0.423611</v>
      </c>
    </row>
    <row r="1338" spans="1:6">
      <c r="A1338" s="1" t="s">
        <v>425</v>
      </c>
      <c r="B1338" s="3">
        <v>44622</v>
      </c>
      <c r="C1338" s="1">
        <v>100</v>
      </c>
      <c r="D1338" s="1">
        <v>1.95</v>
      </c>
      <c r="E1338" s="1">
        <v>0</v>
      </c>
      <c r="F1338" s="1">
        <v>1.95</v>
      </c>
    </row>
    <row r="1339" spans="1:6">
      <c r="A1339" s="1" t="s">
        <v>425</v>
      </c>
      <c r="B1339" s="3">
        <v>44805</v>
      </c>
      <c r="C1339" s="1">
        <v>100</v>
      </c>
      <c r="D1339" s="1">
        <v>1.95</v>
      </c>
      <c r="E1339" s="1">
        <v>0</v>
      </c>
      <c r="F1339" s="1">
        <v>1.95</v>
      </c>
    </row>
    <row r="1340" spans="1:6">
      <c r="A1340" s="1" t="s">
        <v>425</v>
      </c>
      <c r="B1340" s="3">
        <v>44986</v>
      </c>
      <c r="C1340" s="1">
        <v>100</v>
      </c>
      <c r="D1340" s="1">
        <v>2.625</v>
      </c>
      <c r="E1340" s="1">
        <v>0</v>
      </c>
      <c r="F1340" s="1">
        <v>2.625</v>
      </c>
    </row>
    <row r="1341" spans="1:6">
      <c r="A1341" s="1" t="s">
        <v>425</v>
      </c>
      <c r="B1341" s="3">
        <v>45170</v>
      </c>
      <c r="C1341" s="1">
        <v>100</v>
      </c>
      <c r="D1341" s="1">
        <v>2.625</v>
      </c>
      <c r="E1341" s="1">
        <v>0</v>
      </c>
      <c r="F1341" s="1">
        <v>2.625</v>
      </c>
    </row>
    <row r="1342" spans="1:6">
      <c r="A1342" s="1" t="s">
        <v>425</v>
      </c>
      <c r="B1342" s="3">
        <v>45352</v>
      </c>
      <c r="C1342" s="1">
        <v>98.17</v>
      </c>
      <c r="D1342" s="1">
        <v>3.1875</v>
      </c>
      <c r="E1342" s="1">
        <v>1.83</v>
      </c>
      <c r="F1342" s="1">
        <v>5.0175</v>
      </c>
    </row>
    <row r="1343" spans="1:6">
      <c r="A1343" s="1" t="s">
        <v>425</v>
      </c>
      <c r="B1343" s="3">
        <v>45537</v>
      </c>
      <c r="C1343" s="1">
        <v>96.34</v>
      </c>
      <c r="D1343" s="1">
        <v>3.129169</v>
      </c>
      <c r="E1343" s="1">
        <v>1.83</v>
      </c>
      <c r="F1343" s="1">
        <v>4.959169</v>
      </c>
    </row>
    <row r="1344" spans="1:6">
      <c r="A1344" s="1" t="s">
        <v>425</v>
      </c>
      <c r="B1344" s="3">
        <v>45721</v>
      </c>
      <c r="C1344" s="1">
        <v>94.09</v>
      </c>
      <c r="D1344" s="1">
        <v>3.191263</v>
      </c>
      <c r="E1344" s="1">
        <v>2.25</v>
      </c>
      <c r="F1344" s="1">
        <v>5.441263</v>
      </c>
    </row>
    <row r="1345" spans="1:6">
      <c r="A1345" s="1" t="s">
        <v>425</v>
      </c>
      <c r="B1345" s="3">
        <v>45901</v>
      </c>
      <c r="C1345" s="1">
        <v>91.84</v>
      </c>
      <c r="D1345" s="1">
        <v>3.116731</v>
      </c>
      <c r="E1345" s="1">
        <v>2.25</v>
      </c>
      <c r="F1345" s="1">
        <v>5.366731</v>
      </c>
    </row>
    <row r="1346" spans="1:6">
      <c r="A1346" s="1" t="s">
        <v>425</v>
      </c>
      <c r="B1346" s="3">
        <v>46083</v>
      </c>
      <c r="C1346" s="1">
        <v>88.94</v>
      </c>
      <c r="D1346" s="1">
        <v>3.0422</v>
      </c>
      <c r="E1346" s="1">
        <v>2.9</v>
      </c>
      <c r="F1346" s="1">
        <v>5.9422</v>
      </c>
    </row>
    <row r="1347" spans="1:6">
      <c r="A1347" s="1" t="s">
        <v>425</v>
      </c>
      <c r="B1347" s="3">
        <v>46266</v>
      </c>
      <c r="C1347" s="1">
        <v>86.04</v>
      </c>
      <c r="D1347" s="1">
        <v>2.946137</v>
      </c>
      <c r="E1347" s="1">
        <v>2.9</v>
      </c>
      <c r="F1347" s="1">
        <v>5.846137</v>
      </c>
    </row>
    <row r="1348" spans="1:6">
      <c r="A1348" s="1" t="s">
        <v>425</v>
      </c>
      <c r="B1348" s="3">
        <v>46447</v>
      </c>
      <c r="C1348" s="1">
        <v>82.76</v>
      </c>
      <c r="D1348" s="1">
        <v>2.850075</v>
      </c>
      <c r="E1348" s="1">
        <v>3.28</v>
      </c>
      <c r="F1348" s="1">
        <v>6.130075</v>
      </c>
    </row>
    <row r="1349" spans="1:6">
      <c r="A1349" s="1" t="s">
        <v>425</v>
      </c>
      <c r="B1349" s="3">
        <v>46631</v>
      </c>
      <c r="C1349" s="1">
        <v>79.48</v>
      </c>
      <c r="D1349" s="1">
        <v>2.741425</v>
      </c>
      <c r="E1349" s="1">
        <v>3.28</v>
      </c>
      <c r="F1349" s="1">
        <v>6.021425</v>
      </c>
    </row>
    <row r="1350" spans="1:6">
      <c r="A1350" s="1" t="s">
        <v>425</v>
      </c>
      <c r="B1350" s="3">
        <v>46813</v>
      </c>
      <c r="C1350" s="1">
        <v>76.01</v>
      </c>
      <c r="D1350" s="1">
        <v>2.632775</v>
      </c>
      <c r="E1350" s="1">
        <v>3.47</v>
      </c>
      <c r="F1350" s="1">
        <v>6.102775</v>
      </c>
    </row>
    <row r="1351" spans="1:6">
      <c r="A1351" s="1" t="s">
        <v>425</v>
      </c>
      <c r="B1351" s="3">
        <v>46997</v>
      </c>
      <c r="C1351" s="1">
        <v>72.54</v>
      </c>
      <c r="D1351" s="1">
        <v>2.517831</v>
      </c>
      <c r="E1351" s="1">
        <v>3.47</v>
      </c>
      <c r="F1351" s="1">
        <v>5.987831</v>
      </c>
    </row>
    <row r="1352" spans="1:6">
      <c r="A1352" s="1" t="s">
        <v>425</v>
      </c>
      <c r="B1352" s="3">
        <v>47178</v>
      </c>
      <c r="C1352" s="1">
        <v>68.75</v>
      </c>
      <c r="D1352" s="1">
        <v>2.402887</v>
      </c>
      <c r="E1352" s="1">
        <v>3.79</v>
      </c>
      <c r="F1352" s="1">
        <v>6.192887</v>
      </c>
    </row>
    <row r="1353" spans="1:6">
      <c r="A1353" s="1" t="s">
        <v>425</v>
      </c>
      <c r="B1353" s="3">
        <v>47364</v>
      </c>
      <c r="C1353" s="1">
        <v>64.96</v>
      </c>
      <c r="D1353" s="1">
        <v>2.277344</v>
      </c>
      <c r="E1353" s="1">
        <v>3.79</v>
      </c>
      <c r="F1353" s="1">
        <v>6.067344</v>
      </c>
    </row>
    <row r="1354" spans="1:6">
      <c r="A1354" s="1" t="s">
        <v>425</v>
      </c>
      <c r="B1354" s="3">
        <v>47543</v>
      </c>
      <c r="C1354" s="1">
        <v>61.88</v>
      </c>
      <c r="D1354" s="1">
        <v>2.1518</v>
      </c>
      <c r="E1354" s="1">
        <v>3.08</v>
      </c>
      <c r="F1354" s="1">
        <v>5.2318</v>
      </c>
    </row>
    <row r="1355" spans="1:6">
      <c r="A1355" s="1" t="s">
        <v>425</v>
      </c>
      <c r="B1355" s="3">
        <v>47728</v>
      </c>
      <c r="C1355" s="1">
        <v>58.8</v>
      </c>
      <c r="D1355" s="1">
        <v>2.049775</v>
      </c>
      <c r="E1355" s="1">
        <v>3.08</v>
      </c>
      <c r="F1355" s="1">
        <v>5.129775</v>
      </c>
    </row>
    <row r="1356" spans="1:6">
      <c r="A1356" s="1" t="s">
        <v>425</v>
      </c>
      <c r="B1356" s="3">
        <v>47910</v>
      </c>
      <c r="C1356" s="1">
        <v>55.21</v>
      </c>
      <c r="D1356" s="1">
        <v>1.94775</v>
      </c>
      <c r="E1356" s="1">
        <v>3.59</v>
      </c>
      <c r="F1356" s="1">
        <v>5.53775</v>
      </c>
    </row>
    <row r="1357" spans="1:6">
      <c r="A1357" s="1" t="s">
        <v>425</v>
      </c>
      <c r="B1357" s="3">
        <v>48092</v>
      </c>
      <c r="C1357" s="1">
        <v>51.62</v>
      </c>
      <c r="D1357" s="1">
        <v>1.828831</v>
      </c>
      <c r="E1357" s="1">
        <v>3.59</v>
      </c>
      <c r="F1357" s="1">
        <v>5.418831</v>
      </c>
    </row>
    <row r="1358" spans="1:6">
      <c r="A1358" s="1" t="s">
        <v>425</v>
      </c>
      <c r="B1358" s="3">
        <v>48274</v>
      </c>
      <c r="C1358" s="1">
        <v>47.85</v>
      </c>
      <c r="D1358" s="1">
        <v>1.709912</v>
      </c>
      <c r="E1358" s="1">
        <v>3.77</v>
      </c>
      <c r="F1358" s="1">
        <v>5.479913</v>
      </c>
    </row>
    <row r="1359" spans="1:6">
      <c r="A1359" s="1" t="s">
        <v>425</v>
      </c>
      <c r="B1359" s="3">
        <v>48458</v>
      </c>
      <c r="C1359" s="1">
        <v>44.08</v>
      </c>
      <c r="D1359" s="1">
        <v>1.585031</v>
      </c>
      <c r="E1359" s="1">
        <v>3.77</v>
      </c>
      <c r="F1359" s="1">
        <v>5.355031</v>
      </c>
    </row>
    <row r="1360" spans="1:6">
      <c r="A1360" s="1" t="s">
        <v>425</v>
      </c>
      <c r="B1360" s="3">
        <v>48639</v>
      </c>
      <c r="C1360" s="1">
        <v>40.14</v>
      </c>
      <c r="D1360" s="1">
        <v>1.46015</v>
      </c>
      <c r="E1360" s="1">
        <v>3.94</v>
      </c>
      <c r="F1360" s="1">
        <v>5.40015</v>
      </c>
    </row>
    <row r="1361" spans="1:6">
      <c r="A1361" s="1" t="s">
        <v>425</v>
      </c>
      <c r="B1361" s="3">
        <v>48823</v>
      </c>
      <c r="C1361" s="1">
        <v>36.2</v>
      </c>
      <c r="D1361" s="1">
        <v>1.329638</v>
      </c>
      <c r="E1361" s="1">
        <v>3.94</v>
      </c>
      <c r="F1361" s="1">
        <v>5.269637</v>
      </c>
    </row>
    <row r="1362" spans="1:6">
      <c r="A1362" s="1" t="s">
        <v>425</v>
      </c>
      <c r="B1362" s="3">
        <v>49004</v>
      </c>
      <c r="C1362" s="1">
        <v>32</v>
      </c>
      <c r="D1362" s="1">
        <v>1.199125</v>
      </c>
      <c r="E1362" s="1">
        <v>4.2</v>
      </c>
      <c r="F1362" s="1">
        <v>5.399125</v>
      </c>
    </row>
    <row r="1363" spans="1:6">
      <c r="A1363" s="1" t="s">
        <v>425</v>
      </c>
      <c r="B1363" s="3">
        <v>49188</v>
      </c>
      <c r="C1363" s="1">
        <v>27.8</v>
      </c>
      <c r="D1363" s="1">
        <v>1.06</v>
      </c>
      <c r="E1363" s="1">
        <v>4.2</v>
      </c>
      <c r="F1363" s="1">
        <v>5.26</v>
      </c>
    </row>
    <row r="1364" spans="1:6">
      <c r="A1364" s="1" t="s">
        <v>425</v>
      </c>
      <c r="B1364" s="3">
        <v>49369</v>
      </c>
      <c r="C1364" s="1">
        <v>23.4</v>
      </c>
      <c r="D1364" s="1">
        <v>0.920875</v>
      </c>
      <c r="E1364" s="1">
        <v>4.4</v>
      </c>
      <c r="F1364" s="1">
        <v>5.320875</v>
      </c>
    </row>
    <row r="1365" spans="1:6">
      <c r="A1365" s="1" t="s">
        <v>425</v>
      </c>
      <c r="B1365" s="3">
        <v>49555</v>
      </c>
      <c r="C1365" s="1">
        <v>19</v>
      </c>
      <c r="D1365" s="1">
        <v>0.775125</v>
      </c>
      <c r="E1365" s="1">
        <v>4.4</v>
      </c>
      <c r="F1365" s="1">
        <v>5.175125</v>
      </c>
    </row>
    <row r="1366" spans="1:6">
      <c r="A1366" s="1" t="s">
        <v>425</v>
      </c>
      <c r="B1366" s="3">
        <v>49737</v>
      </c>
      <c r="C1366" s="1">
        <v>14.33</v>
      </c>
      <c r="D1366" s="1">
        <v>0.629375</v>
      </c>
      <c r="E1366" s="1">
        <v>4.67</v>
      </c>
      <c r="F1366" s="1">
        <v>5.299375</v>
      </c>
    </row>
    <row r="1367" spans="1:6">
      <c r="A1367" s="1" t="s">
        <v>425</v>
      </c>
      <c r="B1367" s="3">
        <v>49919</v>
      </c>
      <c r="C1367" s="1">
        <v>9.66</v>
      </c>
      <c r="D1367" s="1">
        <v>0.474681</v>
      </c>
      <c r="E1367" s="1">
        <v>4.67</v>
      </c>
      <c r="F1367" s="1">
        <v>5.144681</v>
      </c>
    </row>
    <row r="1368" spans="1:6">
      <c r="A1368" s="1" t="s">
        <v>425</v>
      </c>
      <c r="B1368" s="3">
        <v>50101</v>
      </c>
      <c r="C1368" s="1">
        <v>4.83</v>
      </c>
      <c r="D1368" s="1">
        <v>0.319987</v>
      </c>
      <c r="E1368" s="1">
        <v>4.83</v>
      </c>
      <c r="F1368" s="1">
        <v>5.149987</v>
      </c>
    </row>
    <row r="1369" spans="1:6">
      <c r="A1369" s="1" t="s">
        <v>425</v>
      </c>
      <c r="B1369" s="3">
        <v>50284</v>
      </c>
      <c r="C1369" s="1">
        <v>0</v>
      </c>
      <c r="D1369" s="1">
        <v>0.159994</v>
      </c>
      <c r="E1369" s="1">
        <v>4.83</v>
      </c>
      <c r="F1369" s="1">
        <v>4.989994</v>
      </c>
    </row>
    <row r="1370" spans="1:6">
      <c r="A1370" s="1" t="s">
        <v>426</v>
      </c>
      <c r="B1370" s="3">
        <v>44440</v>
      </c>
      <c r="C1370" s="1">
        <v>100</v>
      </c>
      <c r="D1370" s="1">
        <v>0.423611</v>
      </c>
      <c r="E1370" s="1">
        <v>0</v>
      </c>
      <c r="F1370" s="1">
        <v>0.423611</v>
      </c>
    </row>
    <row r="1371" spans="1:6">
      <c r="A1371" s="1" t="s">
        <v>426</v>
      </c>
      <c r="B1371" s="3">
        <v>44622</v>
      </c>
      <c r="C1371" s="1">
        <v>100</v>
      </c>
      <c r="D1371" s="1">
        <v>1.75</v>
      </c>
      <c r="E1371" s="1">
        <v>0</v>
      </c>
      <c r="F1371" s="1">
        <v>1.75</v>
      </c>
    </row>
    <row r="1372" spans="1:6">
      <c r="A1372" s="1" t="s">
        <v>426</v>
      </c>
      <c r="B1372" s="3">
        <v>44805</v>
      </c>
      <c r="C1372" s="1">
        <v>100</v>
      </c>
      <c r="D1372" s="1">
        <v>1.75</v>
      </c>
      <c r="E1372" s="1">
        <v>0</v>
      </c>
      <c r="F1372" s="1">
        <v>1.75</v>
      </c>
    </row>
    <row r="1373" spans="1:6">
      <c r="A1373" s="1" t="s">
        <v>426</v>
      </c>
      <c r="B1373" s="3">
        <v>44986</v>
      </c>
      <c r="C1373" s="1">
        <v>100</v>
      </c>
      <c r="D1373" s="1">
        <v>2.25</v>
      </c>
      <c r="E1373" s="1">
        <v>0</v>
      </c>
      <c r="F1373" s="1">
        <v>2.25</v>
      </c>
    </row>
    <row r="1374" spans="1:6">
      <c r="A1374" s="1" t="s">
        <v>426</v>
      </c>
      <c r="B1374" s="3">
        <v>45170</v>
      </c>
      <c r="C1374" s="1">
        <v>100</v>
      </c>
      <c r="D1374" s="1">
        <v>2.25</v>
      </c>
      <c r="E1374" s="1">
        <v>0</v>
      </c>
      <c r="F1374" s="1">
        <v>2.25</v>
      </c>
    </row>
    <row r="1375" spans="1:6">
      <c r="A1375" s="1" t="s">
        <v>426</v>
      </c>
      <c r="B1375" s="3">
        <v>45352</v>
      </c>
      <c r="C1375" s="1">
        <v>100</v>
      </c>
      <c r="D1375" s="1">
        <v>2.75</v>
      </c>
      <c r="E1375" s="1">
        <v>0</v>
      </c>
      <c r="F1375" s="1">
        <v>2.75</v>
      </c>
    </row>
    <row r="1376" spans="1:6">
      <c r="A1376" s="1" t="s">
        <v>426</v>
      </c>
      <c r="B1376" s="3">
        <v>45537</v>
      </c>
      <c r="C1376" s="1">
        <v>100</v>
      </c>
      <c r="D1376" s="1">
        <v>2.75</v>
      </c>
      <c r="E1376" s="1">
        <v>0</v>
      </c>
      <c r="F1376" s="1">
        <v>2.75</v>
      </c>
    </row>
    <row r="1377" spans="1:6">
      <c r="A1377" s="1" t="s">
        <v>426</v>
      </c>
      <c r="B1377" s="3">
        <v>45721</v>
      </c>
      <c r="C1377" s="1">
        <v>100</v>
      </c>
      <c r="D1377" s="1">
        <v>2.9375</v>
      </c>
      <c r="E1377" s="1">
        <v>0</v>
      </c>
      <c r="F1377" s="1">
        <v>2.9375</v>
      </c>
    </row>
    <row r="1378" spans="1:6">
      <c r="A1378" s="1" t="s">
        <v>426</v>
      </c>
      <c r="B1378" s="3">
        <v>45901</v>
      </c>
      <c r="C1378" s="1">
        <v>100</v>
      </c>
      <c r="D1378" s="1">
        <v>2.9375</v>
      </c>
      <c r="E1378" s="1">
        <v>0</v>
      </c>
      <c r="F1378" s="1">
        <v>2.9375</v>
      </c>
    </row>
    <row r="1379" spans="1:6">
      <c r="A1379" s="1" t="s">
        <v>426</v>
      </c>
      <c r="B1379" s="3">
        <v>46083</v>
      </c>
      <c r="C1379" s="1">
        <v>100</v>
      </c>
      <c r="D1379" s="1">
        <v>2.9375</v>
      </c>
      <c r="E1379" s="1">
        <v>0</v>
      </c>
      <c r="F1379" s="1">
        <v>2.9375</v>
      </c>
    </row>
    <row r="1380" spans="1:6">
      <c r="A1380" s="1" t="s">
        <v>426</v>
      </c>
      <c r="B1380" s="3">
        <v>46266</v>
      </c>
      <c r="C1380" s="1">
        <v>100</v>
      </c>
      <c r="D1380" s="1">
        <v>2.9375</v>
      </c>
      <c r="E1380" s="1">
        <v>0</v>
      </c>
      <c r="F1380" s="1">
        <v>2.9375</v>
      </c>
    </row>
    <row r="1381" spans="1:6">
      <c r="A1381" s="1" t="s">
        <v>426</v>
      </c>
      <c r="B1381" s="3">
        <v>46447</v>
      </c>
      <c r="C1381" s="1">
        <v>100</v>
      </c>
      <c r="D1381" s="1">
        <v>2.9375</v>
      </c>
      <c r="E1381" s="1">
        <v>0</v>
      </c>
      <c r="F1381" s="1">
        <v>2.9375</v>
      </c>
    </row>
    <row r="1382" spans="1:6">
      <c r="A1382" s="1" t="s">
        <v>426</v>
      </c>
      <c r="B1382" s="3">
        <v>46631</v>
      </c>
      <c r="C1382" s="1">
        <v>100</v>
      </c>
      <c r="D1382" s="1">
        <v>2.9375</v>
      </c>
      <c r="E1382" s="1">
        <v>0</v>
      </c>
      <c r="F1382" s="1">
        <v>2.9375</v>
      </c>
    </row>
    <row r="1383" spans="1:6">
      <c r="A1383" s="1" t="s">
        <v>426</v>
      </c>
      <c r="B1383" s="3">
        <v>46813</v>
      </c>
      <c r="C1383" s="1">
        <v>100</v>
      </c>
      <c r="D1383" s="1">
        <v>2.9375</v>
      </c>
      <c r="E1383" s="1">
        <v>0</v>
      </c>
      <c r="F1383" s="1">
        <v>2.9375</v>
      </c>
    </row>
    <row r="1384" spans="1:6">
      <c r="A1384" s="1" t="s">
        <v>426</v>
      </c>
      <c r="B1384" s="3">
        <v>46997</v>
      </c>
      <c r="C1384" s="1">
        <v>99.25</v>
      </c>
      <c r="D1384" s="1">
        <v>2.9375</v>
      </c>
      <c r="E1384" s="1">
        <v>0.75</v>
      </c>
      <c r="F1384" s="1">
        <v>3.6875</v>
      </c>
    </row>
    <row r="1385" spans="1:6">
      <c r="A1385" s="1" t="s">
        <v>426</v>
      </c>
      <c r="B1385" s="3">
        <v>47178</v>
      </c>
      <c r="C1385" s="1">
        <v>98.5</v>
      </c>
      <c r="D1385" s="1">
        <v>2.915469</v>
      </c>
      <c r="E1385" s="1">
        <v>0.75</v>
      </c>
      <c r="F1385" s="1">
        <v>3.665469</v>
      </c>
    </row>
    <row r="1386" spans="1:6">
      <c r="A1386" s="1" t="s">
        <v>426</v>
      </c>
      <c r="B1386" s="3">
        <v>47364</v>
      </c>
      <c r="C1386" s="1">
        <v>97.75</v>
      </c>
      <c r="D1386" s="1">
        <v>2.893437</v>
      </c>
      <c r="E1386" s="1">
        <v>0.75</v>
      </c>
      <c r="F1386" s="1">
        <v>3.643437</v>
      </c>
    </row>
    <row r="1387" spans="1:6">
      <c r="A1387" s="1" t="s">
        <v>426</v>
      </c>
      <c r="B1387" s="3">
        <v>47543</v>
      </c>
      <c r="C1387" s="1">
        <v>91.6</v>
      </c>
      <c r="D1387" s="1">
        <v>2.871406</v>
      </c>
      <c r="E1387" s="1">
        <v>6.15</v>
      </c>
      <c r="F1387" s="1">
        <v>9.021406</v>
      </c>
    </row>
    <row r="1388" spans="1:6">
      <c r="A1388" s="1" t="s">
        <v>426</v>
      </c>
      <c r="B1388" s="3">
        <v>47728</v>
      </c>
      <c r="C1388" s="1">
        <v>85.45</v>
      </c>
      <c r="D1388" s="1">
        <v>2.69075</v>
      </c>
      <c r="E1388" s="1">
        <v>6.15</v>
      </c>
      <c r="F1388" s="1">
        <v>8.84075</v>
      </c>
    </row>
    <row r="1389" spans="1:6">
      <c r="A1389" s="1" t="s">
        <v>426</v>
      </c>
      <c r="B1389" s="3">
        <v>47910</v>
      </c>
      <c r="C1389" s="1">
        <v>79.1</v>
      </c>
      <c r="D1389" s="1">
        <v>2.510094</v>
      </c>
      <c r="E1389" s="1">
        <v>6.35</v>
      </c>
      <c r="F1389" s="1">
        <v>8.860094</v>
      </c>
    </row>
    <row r="1390" spans="1:6">
      <c r="A1390" s="1" t="s">
        <v>426</v>
      </c>
      <c r="B1390" s="3">
        <v>48092</v>
      </c>
      <c r="C1390" s="1">
        <v>72.75</v>
      </c>
      <c r="D1390" s="1">
        <v>2.323562</v>
      </c>
      <c r="E1390" s="1">
        <v>6.35</v>
      </c>
      <c r="F1390" s="1">
        <v>8.673562</v>
      </c>
    </row>
    <row r="1391" spans="1:6">
      <c r="A1391" s="1" t="s">
        <v>426</v>
      </c>
      <c r="B1391" s="3">
        <v>48274</v>
      </c>
      <c r="C1391" s="1">
        <v>66.4</v>
      </c>
      <c r="D1391" s="1">
        <v>2.137031</v>
      </c>
      <c r="E1391" s="1">
        <v>6.35</v>
      </c>
      <c r="F1391" s="1">
        <v>8.487031</v>
      </c>
    </row>
    <row r="1392" spans="1:6">
      <c r="A1392" s="1" t="s">
        <v>426</v>
      </c>
      <c r="B1392" s="3">
        <v>48458</v>
      </c>
      <c r="C1392" s="1">
        <v>60.05</v>
      </c>
      <c r="D1392" s="1">
        <v>1.9505</v>
      </c>
      <c r="E1392" s="1">
        <v>6.35</v>
      </c>
      <c r="F1392" s="1">
        <v>8.3005</v>
      </c>
    </row>
    <row r="1393" spans="1:6">
      <c r="A1393" s="1" t="s">
        <v>426</v>
      </c>
      <c r="B1393" s="3">
        <v>48639</v>
      </c>
      <c r="C1393" s="1">
        <v>53.7</v>
      </c>
      <c r="D1393" s="1">
        <v>1.763969</v>
      </c>
      <c r="E1393" s="1">
        <v>6.35</v>
      </c>
      <c r="F1393" s="1">
        <v>8.113969</v>
      </c>
    </row>
    <row r="1394" spans="1:6">
      <c r="A1394" s="1" t="s">
        <v>426</v>
      </c>
      <c r="B1394" s="3">
        <v>48823</v>
      </c>
      <c r="C1394" s="1">
        <v>47.35</v>
      </c>
      <c r="D1394" s="1">
        <v>1.577438</v>
      </c>
      <c r="E1394" s="1">
        <v>6.35</v>
      </c>
      <c r="F1394" s="1">
        <v>7.927437</v>
      </c>
    </row>
    <row r="1395" spans="1:6">
      <c r="A1395" s="1" t="s">
        <v>426</v>
      </c>
      <c r="B1395" s="3">
        <v>49004</v>
      </c>
      <c r="C1395" s="1">
        <v>41.45</v>
      </c>
      <c r="D1395" s="1">
        <v>1.390906</v>
      </c>
      <c r="E1395" s="1">
        <v>5.9</v>
      </c>
      <c r="F1395" s="1">
        <v>7.290906</v>
      </c>
    </row>
    <row r="1396" spans="1:6">
      <c r="A1396" s="1" t="s">
        <v>426</v>
      </c>
      <c r="B1396" s="3">
        <v>49188</v>
      </c>
      <c r="C1396" s="1">
        <v>35.55</v>
      </c>
      <c r="D1396" s="1">
        <v>1.217594</v>
      </c>
      <c r="E1396" s="1">
        <v>5.9</v>
      </c>
      <c r="F1396" s="1">
        <v>7.117594</v>
      </c>
    </row>
    <row r="1397" spans="1:6">
      <c r="A1397" s="1" t="s">
        <v>426</v>
      </c>
      <c r="B1397" s="3">
        <v>49369</v>
      </c>
      <c r="C1397" s="1">
        <v>29.65</v>
      </c>
      <c r="D1397" s="1">
        <v>1.044281</v>
      </c>
      <c r="E1397" s="1">
        <v>5.9</v>
      </c>
      <c r="F1397" s="1">
        <v>6.944281</v>
      </c>
    </row>
    <row r="1398" spans="1:6">
      <c r="A1398" s="1" t="s">
        <v>426</v>
      </c>
      <c r="B1398" s="3">
        <v>49555</v>
      </c>
      <c r="C1398" s="1">
        <v>23.75</v>
      </c>
      <c r="D1398" s="1">
        <v>0.870969</v>
      </c>
      <c r="E1398" s="1">
        <v>5.9</v>
      </c>
      <c r="F1398" s="1">
        <v>6.770969</v>
      </c>
    </row>
    <row r="1399" spans="1:6">
      <c r="A1399" s="1" t="s">
        <v>426</v>
      </c>
      <c r="B1399" s="3">
        <v>49737</v>
      </c>
      <c r="C1399" s="1">
        <v>17.85</v>
      </c>
      <c r="D1399" s="1">
        <v>0.697656</v>
      </c>
      <c r="E1399" s="1">
        <v>5.9</v>
      </c>
      <c r="F1399" s="1">
        <v>6.597656</v>
      </c>
    </row>
    <row r="1400" spans="1:6">
      <c r="A1400" s="1" t="s">
        <v>426</v>
      </c>
      <c r="B1400" s="3">
        <v>49919</v>
      </c>
      <c r="C1400" s="1">
        <v>11.95</v>
      </c>
      <c r="D1400" s="1">
        <v>0.524344</v>
      </c>
      <c r="E1400" s="1">
        <v>5.9</v>
      </c>
      <c r="F1400" s="1">
        <v>6.424344</v>
      </c>
    </row>
    <row r="1401" spans="1:6">
      <c r="A1401" s="1" t="s">
        <v>426</v>
      </c>
      <c r="B1401" s="3">
        <v>50101</v>
      </c>
      <c r="C1401" s="1">
        <v>5.97</v>
      </c>
      <c r="D1401" s="1">
        <v>0.351031</v>
      </c>
      <c r="E1401" s="1">
        <v>5.98</v>
      </c>
      <c r="F1401" s="1">
        <v>6.331031</v>
      </c>
    </row>
    <row r="1402" spans="1:6">
      <c r="A1402" s="1" t="s">
        <v>426</v>
      </c>
      <c r="B1402" s="3">
        <v>50284</v>
      </c>
      <c r="C1402" s="1">
        <v>0</v>
      </c>
      <c r="D1402" s="1">
        <v>0.175369</v>
      </c>
      <c r="E1402" s="1">
        <v>5.97</v>
      </c>
      <c r="F1402" s="1">
        <v>6.145369</v>
      </c>
    </row>
    <row r="1403" spans="1:6">
      <c r="A1403" s="1" t="s">
        <v>427</v>
      </c>
      <c r="B1403" s="3">
        <v>44440</v>
      </c>
      <c r="C1403" s="1">
        <v>100</v>
      </c>
      <c r="D1403" s="1">
        <v>0.338889</v>
      </c>
      <c r="E1403" s="1">
        <v>0</v>
      </c>
      <c r="F1403" s="1">
        <v>0.338889</v>
      </c>
    </row>
    <row r="1404" spans="1:6">
      <c r="A1404" s="1" t="s">
        <v>427</v>
      </c>
      <c r="B1404" s="3">
        <v>44622</v>
      </c>
      <c r="C1404" s="1">
        <v>100</v>
      </c>
      <c r="D1404" s="1">
        <v>1.5</v>
      </c>
      <c r="E1404" s="1">
        <v>0</v>
      </c>
      <c r="F1404" s="1">
        <v>1.5</v>
      </c>
    </row>
    <row r="1405" spans="1:6">
      <c r="A1405" s="1" t="s">
        <v>427</v>
      </c>
      <c r="B1405" s="3">
        <v>44805</v>
      </c>
      <c r="C1405" s="1">
        <v>100</v>
      </c>
      <c r="D1405" s="1">
        <v>1.5</v>
      </c>
      <c r="E1405" s="1">
        <v>0</v>
      </c>
      <c r="F1405" s="1">
        <v>1.5</v>
      </c>
    </row>
    <row r="1406" spans="1:6">
      <c r="A1406" s="1" t="s">
        <v>427</v>
      </c>
      <c r="B1406" s="3">
        <v>44986</v>
      </c>
      <c r="C1406" s="1">
        <v>100</v>
      </c>
      <c r="D1406" s="1">
        <v>2</v>
      </c>
      <c r="E1406" s="1">
        <v>0</v>
      </c>
      <c r="F1406" s="1">
        <v>2</v>
      </c>
    </row>
    <row r="1407" spans="1:6">
      <c r="A1407" s="1" t="s">
        <v>427</v>
      </c>
      <c r="B1407" s="3">
        <v>45170</v>
      </c>
      <c r="C1407" s="1">
        <v>100</v>
      </c>
      <c r="D1407" s="1">
        <v>2</v>
      </c>
      <c r="E1407" s="1">
        <v>0</v>
      </c>
      <c r="F1407" s="1">
        <v>2</v>
      </c>
    </row>
    <row r="1408" spans="1:6">
      <c r="A1408" s="1" t="s">
        <v>427</v>
      </c>
      <c r="B1408" s="3">
        <v>45352</v>
      </c>
      <c r="C1408" s="1">
        <v>100</v>
      </c>
      <c r="D1408" s="1">
        <v>2.5</v>
      </c>
      <c r="E1408" s="1">
        <v>0</v>
      </c>
      <c r="F1408" s="1">
        <v>2.5</v>
      </c>
    </row>
    <row r="1409" spans="1:6">
      <c r="A1409" s="1" t="s">
        <v>427</v>
      </c>
      <c r="B1409" s="3">
        <v>45537</v>
      </c>
      <c r="C1409" s="1">
        <v>100</v>
      </c>
      <c r="D1409" s="1">
        <v>2.5</v>
      </c>
      <c r="E1409" s="1">
        <v>0</v>
      </c>
      <c r="F1409" s="1">
        <v>2.5</v>
      </c>
    </row>
    <row r="1410" spans="1:6">
      <c r="A1410" s="1" t="s">
        <v>427</v>
      </c>
      <c r="B1410" s="3">
        <v>45721</v>
      </c>
      <c r="C1410" s="1">
        <v>100</v>
      </c>
      <c r="D1410" s="1">
        <v>2.625</v>
      </c>
      <c r="E1410" s="1">
        <v>0</v>
      </c>
      <c r="F1410" s="1">
        <v>2.625</v>
      </c>
    </row>
    <row r="1411" spans="1:6">
      <c r="A1411" s="1" t="s">
        <v>427</v>
      </c>
      <c r="B1411" s="3">
        <v>45901</v>
      </c>
      <c r="C1411" s="1">
        <v>100</v>
      </c>
      <c r="D1411" s="1">
        <v>2.625</v>
      </c>
      <c r="E1411" s="1">
        <v>0</v>
      </c>
      <c r="F1411" s="1">
        <v>2.625</v>
      </c>
    </row>
    <row r="1412" spans="1:6">
      <c r="A1412" s="1" t="s">
        <v>427</v>
      </c>
      <c r="B1412" s="3">
        <v>46083</v>
      </c>
      <c r="C1412" s="1">
        <v>100</v>
      </c>
      <c r="D1412" s="1">
        <v>2.625</v>
      </c>
      <c r="E1412" s="1">
        <v>0</v>
      </c>
      <c r="F1412" s="1">
        <v>2.625</v>
      </c>
    </row>
    <row r="1413" spans="1:6">
      <c r="A1413" s="1" t="s">
        <v>427</v>
      </c>
      <c r="B1413" s="3">
        <v>46266</v>
      </c>
      <c r="C1413" s="1">
        <v>100</v>
      </c>
      <c r="D1413" s="1">
        <v>2.625</v>
      </c>
      <c r="E1413" s="1">
        <v>0</v>
      </c>
      <c r="F1413" s="1">
        <v>2.625</v>
      </c>
    </row>
    <row r="1414" spans="1:6">
      <c r="A1414" s="1" t="s">
        <v>427</v>
      </c>
      <c r="B1414" s="3">
        <v>46447</v>
      </c>
      <c r="C1414" s="1">
        <v>100</v>
      </c>
      <c r="D1414" s="1">
        <v>2.625</v>
      </c>
      <c r="E1414" s="1">
        <v>0</v>
      </c>
      <c r="F1414" s="1">
        <v>2.625</v>
      </c>
    </row>
    <row r="1415" spans="1:6">
      <c r="A1415" s="1" t="s">
        <v>427</v>
      </c>
      <c r="B1415" s="3">
        <v>46631</v>
      </c>
      <c r="C1415" s="1">
        <v>100</v>
      </c>
      <c r="D1415" s="1">
        <v>2.625</v>
      </c>
      <c r="E1415" s="1">
        <v>0</v>
      </c>
      <c r="F1415" s="1">
        <v>2.625</v>
      </c>
    </row>
    <row r="1416" spans="1:6">
      <c r="A1416" s="1" t="s">
        <v>427</v>
      </c>
      <c r="B1416" s="3">
        <v>46813</v>
      </c>
      <c r="C1416" s="1">
        <v>100</v>
      </c>
      <c r="D1416" s="1">
        <v>2.625</v>
      </c>
      <c r="E1416" s="1">
        <v>0</v>
      </c>
      <c r="F1416" s="1">
        <v>2.625</v>
      </c>
    </row>
    <row r="1417" spans="1:6">
      <c r="A1417" s="1" t="s">
        <v>427</v>
      </c>
      <c r="B1417" s="3">
        <v>46997</v>
      </c>
      <c r="C1417" s="1">
        <v>99.25</v>
      </c>
      <c r="D1417" s="1">
        <v>2.625</v>
      </c>
      <c r="E1417" s="1">
        <v>0.75</v>
      </c>
      <c r="F1417" s="1">
        <v>3.375</v>
      </c>
    </row>
    <row r="1418" spans="1:6">
      <c r="A1418" s="1" t="s">
        <v>427</v>
      </c>
      <c r="B1418" s="3">
        <v>47178</v>
      </c>
      <c r="C1418" s="1">
        <v>98.5</v>
      </c>
      <c r="D1418" s="1">
        <v>2.605313</v>
      </c>
      <c r="E1418" s="1">
        <v>0.75</v>
      </c>
      <c r="F1418" s="1">
        <v>3.355313</v>
      </c>
    </row>
    <row r="1419" spans="1:6">
      <c r="A1419" s="1" t="s">
        <v>427</v>
      </c>
      <c r="B1419" s="3">
        <v>47364</v>
      </c>
      <c r="C1419" s="1">
        <v>97.75</v>
      </c>
      <c r="D1419" s="1">
        <v>2.585625</v>
      </c>
      <c r="E1419" s="1">
        <v>0.75</v>
      </c>
      <c r="F1419" s="1">
        <v>3.335625</v>
      </c>
    </row>
    <row r="1420" spans="1:6">
      <c r="A1420" s="1" t="s">
        <v>427</v>
      </c>
      <c r="B1420" s="3">
        <v>47543</v>
      </c>
      <c r="C1420" s="1">
        <v>91.6</v>
      </c>
      <c r="D1420" s="1">
        <v>2.565937</v>
      </c>
      <c r="E1420" s="1">
        <v>6.15</v>
      </c>
      <c r="F1420" s="1">
        <v>8.715938</v>
      </c>
    </row>
    <row r="1421" spans="1:6">
      <c r="A1421" s="1" t="s">
        <v>427</v>
      </c>
      <c r="B1421" s="3">
        <v>47728</v>
      </c>
      <c r="C1421" s="1">
        <v>85.45</v>
      </c>
      <c r="D1421" s="1">
        <v>2.4045</v>
      </c>
      <c r="E1421" s="1">
        <v>6.15</v>
      </c>
      <c r="F1421" s="1">
        <v>8.5545</v>
      </c>
    </row>
    <row r="1422" spans="1:6">
      <c r="A1422" s="1" t="s">
        <v>427</v>
      </c>
      <c r="B1422" s="3">
        <v>47910</v>
      </c>
      <c r="C1422" s="1">
        <v>79.1</v>
      </c>
      <c r="D1422" s="1">
        <v>2.243062</v>
      </c>
      <c r="E1422" s="1">
        <v>6.35</v>
      </c>
      <c r="F1422" s="1">
        <v>8.593062</v>
      </c>
    </row>
    <row r="1423" spans="1:6">
      <c r="A1423" s="1" t="s">
        <v>427</v>
      </c>
      <c r="B1423" s="3">
        <v>48092</v>
      </c>
      <c r="C1423" s="1">
        <v>72.75</v>
      </c>
      <c r="D1423" s="1">
        <v>2.076375</v>
      </c>
      <c r="E1423" s="1">
        <v>6.35</v>
      </c>
      <c r="F1423" s="1">
        <v>8.426375</v>
      </c>
    </row>
    <row r="1424" spans="1:6">
      <c r="A1424" s="1" t="s">
        <v>427</v>
      </c>
      <c r="B1424" s="3">
        <v>48274</v>
      </c>
      <c r="C1424" s="1">
        <v>66.4</v>
      </c>
      <c r="D1424" s="1">
        <v>1.909687</v>
      </c>
      <c r="E1424" s="1">
        <v>6.35</v>
      </c>
      <c r="F1424" s="1">
        <v>8.259688</v>
      </c>
    </row>
    <row r="1425" spans="1:6">
      <c r="A1425" s="1" t="s">
        <v>427</v>
      </c>
      <c r="B1425" s="3">
        <v>48458</v>
      </c>
      <c r="C1425" s="1">
        <v>60.05</v>
      </c>
      <c r="D1425" s="1">
        <v>1.743</v>
      </c>
      <c r="E1425" s="1">
        <v>6.35</v>
      </c>
      <c r="F1425" s="1">
        <v>8.093</v>
      </c>
    </row>
    <row r="1426" spans="1:6">
      <c r="A1426" s="1" t="s">
        <v>427</v>
      </c>
      <c r="B1426" s="3">
        <v>48639</v>
      </c>
      <c r="C1426" s="1">
        <v>53.7</v>
      </c>
      <c r="D1426" s="1">
        <v>1.576313</v>
      </c>
      <c r="E1426" s="1">
        <v>6.35</v>
      </c>
      <c r="F1426" s="1">
        <v>7.926312</v>
      </c>
    </row>
    <row r="1427" spans="1:6">
      <c r="A1427" s="1" t="s">
        <v>427</v>
      </c>
      <c r="B1427" s="3">
        <v>48823</v>
      </c>
      <c r="C1427" s="1">
        <v>47.35</v>
      </c>
      <c r="D1427" s="1">
        <v>1.409625</v>
      </c>
      <c r="E1427" s="1">
        <v>6.35</v>
      </c>
      <c r="F1427" s="1">
        <v>7.759625</v>
      </c>
    </row>
    <row r="1428" spans="1:6">
      <c r="A1428" s="1" t="s">
        <v>427</v>
      </c>
      <c r="B1428" s="3">
        <v>49004</v>
      </c>
      <c r="C1428" s="1">
        <v>41.45</v>
      </c>
      <c r="D1428" s="1">
        <v>1.242938</v>
      </c>
      <c r="E1428" s="1">
        <v>5.9</v>
      </c>
      <c r="F1428" s="1">
        <v>7.142937</v>
      </c>
    </row>
    <row r="1429" spans="1:6">
      <c r="A1429" s="1" t="s">
        <v>427</v>
      </c>
      <c r="B1429" s="3">
        <v>49188</v>
      </c>
      <c r="C1429" s="1">
        <v>35.55</v>
      </c>
      <c r="D1429" s="1">
        <v>1.088062</v>
      </c>
      <c r="E1429" s="1">
        <v>5.9</v>
      </c>
      <c r="F1429" s="1">
        <v>6.988062</v>
      </c>
    </row>
    <row r="1430" spans="1:6">
      <c r="A1430" s="1" t="s">
        <v>427</v>
      </c>
      <c r="B1430" s="3">
        <v>49369</v>
      </c>
      <c r="C1430" s="1">
        <v>29.65</v>
      </c>
      <c r="D1430" s="1">
        <v>0.933187</v>
      </c>
      <c r="E1430" s="1">
        <v>5.9</v>
      </c>
      <c r="F1430" s="1">
        <v>6.833187</v>
      </c>
    </row>
    <row r="1431" spans="1:6">
      <c r="A1431" s="1" t="s">
        <v>427</v>
      </c>
      <c r="B1431" s="3">
        <v>49555</v>
      </c>
      <c r="C1431" s="1">
        <v>23.75</v>
      </c>
      <c r="D1431" s="1">
        <v>0.778312</v>
      </c>
      <c r="E1431" s="1">
        <v>5.9</v>
      </c>
      <c r="F1431" s="1">
        <v>6.678312</v>
      </c>
    </row>
    <row r="1432" spans="1:6">
      <c r="A1432" s="1" t="s">
        <v>427</v>
      </c>
      <c r="B1432" s="3">
        <v>49737</v>
      </c>
      <c r="C1432" s="1">
        <v>17.85</v>
      </c>
      <c r="D1432" s="1">
        <v>0.623437</v>
      </c>
      <c r="E1432" s="1">
        <v>5.9</v>
      </c>
      <c r="F1432" s="1">
        <v>6.523437</v>
      </c>
    </row>
    <row r="1433" spans="1:6">
      <c r="A1433" s="1" t="s">
        <v>427</v>
      </c>
      <c r="B1433" s="3">
        <v>49919</v>
      </c>
      <c r="C1433" s="1">
        <v>11.95</v>
      </c>
      <c r="D1433" s="1">
        <v>0.468562</v>
      </c>
      <c r="E1433" s="1">
        <v>5.9</v>
      </c>
      <c r="F1433" s="1">
        <v>6.368562</v>
      </c>
    </row>
    <row r="1434" spans="1:6">
      <c r="A1434" s="1" t="s">
        <v>427</v>
      </c>
      <c r="B1434" s="3">
        <v>50101</v>
      </c>
      <c r="C1434" s="1">
        <v>5.97</v>
      </c>
      <c r="D1434" s="1">
        <v>0.313688</v>
      </c>
      <c r="E1434" s="1">
        <v>5.98</v>
      </c>
      <c r="F1434" s="1">
        <v>6.293687</v>
      </c>
    </row>
    <row r="1435" spans="1:6">
      <c r="A1435" s="1" t="s">
        <v>427</v>
      </c>
      <c r="B1435" s="3">
        <v>50284</v>
      </c>
      <c r="C1435" s="1">
        <v>0</v>
      </c>
      <c r="D1435" s="1">
        <v>0.156713</v>
      </c>
      <c r="E1435" s="1">
        <v>5.97</v>
      </c>
      <c r="F1435" s="1">
        <v>6.126713</v>
      </c>
    </row>
    <row r="1436" spans="1:6">
      <c r="A1436" s="1" t="s">
        <v>428</v>
      </c>
      <c r="B1436" s="3">
        <v>43363</v>
      </c>
      <c r="C1436" s="1">
        <v>100</v>
      </c>
      <c r="D1436" s="1">
        <v>4.3125</v>
      </c>
      <c r="E1436" s="1">
        <v>0</v>
      </c>
      <c r="F1436" s="1">
        <v>4.3125</v>
      </c>
    </row>
    <row r="1437" spans="1:6">
      <c r="A1437" s="1" t="s">
        <v>428</v>
      </c>
      <c r="B1437" s="3">
        <v>43544</v>
      </c>
      <c r="C1437" s="1">
        <v>100</v>
      </c>
      <c r="D1437" s="1">
        <v>4.3125</v>
      </c>
      <c r="E1437" s="1">
        <v>0</v>
      </c>
      <c r="F1437" s="1">
        <v>4.3125</v>
      </c>
    </row>
    <row r="1438" spans="1:6">
      <c r="A1438" s="1" t="s">
        <v>428</v>
      </c>
      <c r="B1438" s="3">
        <v>43728</v>
      </c>
      <c r="C1438" s="1">
        <v>100</v>
      </c>
      <c r="D1438" s="1">
        <v>4.3125</v>
      </c>
      <c r="E1438" s="1">
        <v>0</v>
      </c>
      <c r="F1438" s="1">
        <v>4.3125</v>
      </c>
    </row>
    <row r="1439" spans="1:6">
      <c r="A1439" s="1" t="s">
        <v>428</v>
      </c>
      <c r="B1439" s="3">
        <v>43910</v>
      </c>
      <c r="C1439" s="1">
        <v>100</v>
      </c>
      <c r="D1439" s="1">
        <v>4.3125</v>
      </c>
      <c r="E1439" s="1">
        <v>0</v>
      </c>
      <c r="F1439" s="1">
        <v>4.3125</v>
      </c>
    </row>
    <row r="1440" spans="1:6">
      <c r="A1440" s="1" t="s">
        <v>428</v>
      </c>
      <c r="B1440" s="3">
        <v>44095</v>
      </c>
      <c r="C1440" s="1">
        <v>100</v>
      </c>
      <c r="D1440" s="1">
        <v>4.3125</v>
      </c>
      <c r="E1440" s="1">
        <v>0</v>
      </c>
      <c r="F1440" s="1">
        <v>4.3125</v>
      </c>
    </row>
    <row r="1441" spans="1:6">
      <c r="A1441" s="1" t="s">
        <v>428</v>
      </c>
      <c r="B1441" s="3">
        <v>44277</v>
      </c>
      <c r="C1441" s="1">
        <v>100</v>
      </c>
      <c r="D1441" s="1">
        <v>0</v>
      </c>
      <c r="E1441" s="1">
        <v>0</v>
      </c>
      <c r="F1441" s="1">
        <v>0</v>
      </c>
    </row>
    <row r="1442" spans="1:6">
      <c r="A1442" s="1" t="s">
        <v>428</v>
      </c>
      <c r="B1442" s="3">
        <v>44459</v>
      </c>
      <c r="C1442" s="1">
        <v>100</v>
      </c>
      <c r="D1442" s="1">
        <v>2.625</v>
      </c>
      <c r="E1442" s="1">
        <v>0</v>
      </c>
      <c r="F1442" s="1">
        <v>2.625</v>
      </c>
    </row>
    <row r="1443" spans="1:6">
      <c r="A1443" s="1" t="s">
        <v>428</v>
      </c>
      <c r="B1443" s="3">
        <v>44641</v>
      </c>
      <c r="C1443" s="1">
        <v>100</v>
      </c>
      <c r="D1443" s="1">
        <v>2.875</v>
      </c>
      <c r="E1443" s="1">
        <v>0</v>
      </c>
      <c r="F1443" s="1">
        <v>2.875</v>
      </c>
    </row>
    <row r="1444" spans="1:6">
      <c r="A1444" s="1" t="s">
        <v>428</v>
      </c>
      <c r="B1444" s="3">
        <v>44824</v>
      </c>
      <c r="C1444" s="1">
        <v>100</v>
      </c>
      <c r="D1444" s="1">
        <v>4.1875</v>
      </c>
      <c r="E1444" s="1">
        <v>0</v>
      </c>
      <c r="F1444" s="1">
        <v>4.1875</v>
      </c>
    </row>
    <row r="1445" spans="1:6">
      <c r="A1445" s="1" t="s">
        <v>428</v>
      </c>
      <c r="B1445" s="3">
        <v>45005</v>
      </c>
      <c r="C1445" s="1">
        <v>88.8889</v>
      </c>
      <c r="D1445" s="1">
        <v>4.1875</v>
      </c>
      <c r="E1445" s="1">
        <v>11.111111</v>
      </c>
      <c r="F1445" s="1">
        <v>15.298611</v>
      </c>
    </row>
    <row r="1446" spans="1:6">
      <c r="A1446" s="1" t="s">
        <v>428</v>
      </c>
      <c r="B1446" s="3">
        <v>45189</v>
      </c>
      <c r="C1446" s="1">
        <v>77.7778</v>
      </c>
      <c r="D1446" s="1">
        <v>3.722222</v>
      </c>
      <c r="E1446" s="1">
        <v>11.111111</v>
      </c>
      <c r="F1446" s="1">
        <v>14.833333</v>
      </c>
    </row>
    <row r="1447" spans="1:6">
      <c r="A1447" s="1" t="s">
        <v>428</v>
      </c>
      <c r="B1447" s="3">
        <v>45371</v>
      </c>
      <c r="C1447" s="1">
        <v>66.6667</v>
      </c>
      <c r="D1447" s="1">
        <v>3.256944</v>
      </c>
      <c r="E1447" s="1">
        <v>11.111111</v>
      </c>
      <c r="F1447" s="1">
        <v>14.368055</v>
      </c>
    </row>
    <row r="1448" spans="1:6">
      <c r="A1448" s="1" t="s">
        <v>428</v>
      </c>
      <c r="B1448" s="3">
        <v>45555</v>
      </c>
      <c r="C1448" s="1">
        <v>55.5556</v>
      </c>
      <c r="D1448" s="1">
        <v>2.791667</v>
      </c>
      <c r="E1448" s="1">
        <v>11.111111</v>
      </c>
      <c r="F1448" s="1">
        <v>13.902778</v>
      </c>
    </row>
    <row r="1449" spans="1:6">
      <c r="A1449" s="1" t="s">
        <v>428</v>
      </c>
      <c r="B1449" s="3">
        <v>45736</v>
      </c>
      <c r="C1449" s="1">
        <v>44.4444</v>
      </c>
      <c r="D1449" s="1">
        <v>2.326389</v>
      </c>
      <c r="E1449" s="1">
        <v>11.111111</v>
      </c>
      <c r="F1449" s="1">
        <v>13.4375</v>
      </c>
    </row>
    <row r="1450" spans="1:6">
      <c r="A1450" s="1" t="s">
        <v>428</v>
      </c>
      <c r="B1450" s="3">
        <v>45922</v>
      </c>
      <c r="C1450" s="1">
        <v>33.3333</v>
      </c>
      <c r="D1450" s="1">
        <v>1.861111</v>
      </c>
      <c r="E1450" s="1">
        <v>11.111111</v>
      </c>
      <c r="F1450" s="1">
        <v>12.972222</v>
      </c>
    </row>
    <row r="1451" spans="1:6">
      <c r="A1451" s="1" t="s">
        <v>428</v>
      </c>
      <c r="B1451" s="3">
        <v>46101</v>
      </c>
      <c r="C1451" s="1">
        <v>22.2222</v>
      </c>
      <c r="D1451" s="1">
        <v>1.395833</v>
      </c>
      <c r="E1451" s="1">
        <v>11.111111</v>
      </c>
      <c r="F1451" s="1">
        <v>12.506944</v>
      </c>
    </row>
    <row r="1452" spans="1:6">
      <c r="A1452" s="1" t="s">
        <v>428</v>
      </c>
      <c r="B1452" s="3">
        <v>46286</v>
      </c>
      <c r="C1452" s="1">
        <v>11.1111</v>
      </c>
      <c r="D1452" s="1">
        <v>0.930556</v>
      </c>
      <c r="E1452" s="1">
        <v>11.111111</v>
      </c>
      <c r="F1452" s="1">
        <v>12.041667</v>
      </c>
    </row>
    <row r="1453" spans="1:6">
      <c r="A1453" s="1" t="s">
        <v>428</v>
      </c>
      <c r="B1453" s="3">
        <v>46468</v>
      </c>
      <c r="C1453" s="1">
        <v>0</v>
      </c>
      <c r="D1453" s="1">
        <v>0.465278</v>
      </c>
      <c r="E1453" s="1">
        <v>11.111112</v>
      </c>
      <c r="F1453" s="1">
        <v>11.57639</v>
      </c>
    </row>
    <row r="1454" spans="1:6">
      <c r="A1454" s="1" t="s">
        <v>429</v>
      </c>
      <c r="B1454" s="3">
        <v>46062</v>
      </c>
      <c r="C1454" s="1">
        <v>100</v>
      </c>
      <c r="D1454" s="1">
        <v>0</v>
      </c>
      <c r="E1454" s="1">
        <v>0</v>
      </c>
      <c r="F1454" s="1">
        <v>0</v>
      </c>
    </row>
    <row r="1455" spans="1:6">
      <c r="A1455" s="1" t="s">
        <v>429</v>
      </c>
      <c r="B1455" s="3">
        <v>46142</v>
      </c>
      <c r="C1455" s="1">
        <v>100</v>
      </c>
      <c r="D1455" s="1">
        <v>1.643836</v>
      </c>
      <c r="E1455" s="1">
        <v>0</v>
      </c>
      <c r="F1455" s="1">
        <v>1.643836</v>
      </c>
    </row>
    <row r="1456" spans="1:6">
      <c r="A1456" s="1" t="s">
        <v>429</v>
      </c>
      <c r="B1456" s="3">
        <v>46233</v>
      </c>
      <c r="C1456" s="1">
        <v>100</v>
      </c>
      <c r="D1456" s="1">
        <v>1.869863</v>
      </c>
      <c r="E1456" s="1">
        <v>0</v>
      </c>
      <c r="F1456" s="1">
        <v>1.869863</v>
      </c>
    </row>
    <row r="1457" spans="1:6">
      <c r="A1457" s="1" t="s">
        <v>429</v>
      </c>
      <c r="B1457" s="3">
        <v>46325</v>
      </c>
      <c r="C1457" s="1">
        <v>100</v>
      </c>
      <c r="D1457" s="1">
        <v>1.890411</v>
      </c>
      <c r="E1457" s="1">
        <v>0</v>
      </c>
      <c r="F1457" s="1">
        <v>1.890411</v>
      </c>
    </row>
    <row r="1458" spans="1:6">
      <c r="A1458" s="1" t="s">
        <v>429</v>
      </c>
      <c r="B1458" s="3">
        <v>46417</v>
      </c>
      <c r="C1458" s="1">
        <v>100</v>
      </c>
      <c r="D1458" s="1">
        <v>1.890411</v>
      </c>
      <c r="E1458" s="1">
        <v>0</v>
      </c>
      <c r="F1458" s="1">
        <v>1.890411</v>
      </c>
    </row>
    <row r="1459" spans="1:6">
      <c r="A1459" s="1" t="s">
        <v>429</v>
      </c>
      <c r="B1459" s="3">
        <v>46507</v>
      </c>
      <c r="C1459" s="1">
        <v>100</v>
      </c>
      <c r="D1459" s="1">
        <v>1.849315</v>
      </c>
      <c r="E1459" s="1">
        <v>0</v>
      </c>
      <c r="F1459" s="1">
        <v>1.849315</v>
      </c>
    </row>
    <row r="1460" spans="1:6">
      <c r="A1460" s="1" t="s">
        <v>429</v>
      </c>
      <c r="B1460" s="3">
        <v>46598</v>
      </c>
      <c r="C1460" s="1">
        <v>50</v>
      </c>
      <c r="D1460" s="1">
        <v>1.869863</v>
      </c>
      <c r="E1460" s="1">
        <v>50</v>
      </c>
      <c r="F1460" s="1">
        <v>51.869863</v>
      </c>
    </row>
    <row r="1461" spans="1:6">
      <c r="A1461" s="1" t="s">
        <v>429</v>
      </c>
      <c r="B1461" s="3">
        <v>46690</v>
      </c>
      <c r="C1461" s="1">
        <v>0</v>
      </c>
      <c r="D1461" s="1">
        <v>0.945205</v>
      </c>
      <c r="E1461" s="1">
        <v>50</v>
      </c>
      <c r="F1461" s="1">
        <v>50.945205</v>
      </c>
    </row>
    <row r="1462" spans="1:6">
      <c r="A1462" s="1" t="s">
        <v>430</v>
      </c>
      <c r="B1462" s="3">
        <v>45705</v>
      </c>
      <c r="C1462" s="1">
        <v>100</v>
      </c>
      <c r="D1462" s="1">
        <v>0</v>
      </c>
      <c r="E1462" s="1">
        <v>0</v>
      </c>
      <c r="F1462" s="1">
        <v>0</v>
      </c>
    </row>
    <row r="1463" spans="1:6">
      <c r="A1463" s="1" t="s">
        <v>430</v>
      </c>
      <c r="B1463" s="3">
        <v>45886</v>
      </c>
      <c r="C1463" s="1">
        <v>100</v>
      </c>
      <c r="D1463" s="1">
        <v>3.967123</v>
      </c>
      <c r="E1463" s="1">
        <v>0</v>
      </c>
      <c r="F1463" s="1">
        <v>3.967123</v>
      </c>
    </row>
    <row r="1464" spans="1:6">
      <c r="A1464" s="1" t="s">
        <v>430</v>
      </c>
      <c r="B1464" s="3">
        <v>46070</v>
      </c>
      <c r="C1464" s="1">
        <v>100</v>
      </c>
      <c r="D1464" s="1">
        <v>4.032877</v>
      </c>
      <c r="E1464" s="1">
        <v>0</v>
      </c>
      <c r="F1464" s="1">
        <v>4.032877</v>
      </c>
    </row>
    <row r="1465" spans="1:6">
      <c r="A1465" s="1" t="s">
        <v>430</v>
      </c>
      <c r="B1465" s="3">
        <v>46251</v>
      </c>
      <c r="C1465" s="1">
        <v>100</v>
      </c>
      <c r="D1465" s="1">
        <v>3.967123</v>
      </c>
      <c r="E1465" s="1">
        <v>0</v>
      </c>
      <c r="F1465" s="1">
        <v>3.967123</v>
      </c>
    </row>
    <row r="1466" spans="1:6">
      <c r="A1466" s="1" t="s">
        <v>430</v>
      </c>
      <c r="B1466" s="3">
        <v>46435</v>
      </c>
      <c r="C1466" s="1">
        <v>100</v>
      </c>
      <c r="D1466" s="1">
        <v>4.032877</v>
      </c>
      <c r="E1466" s="1">
        <v>0</v>
      </c>
      <c r="F1466" s="1">
        <v>4.032877</v>
      </c>
    </row>
    <row r="1467" spans="1:6">
      <c r="A1467" s="1" t="s">
        <v>430</v>
      </c>
      <c r="B1467" s="3">
        <v>46616</v>
      </c>
      <c r="C1467" s="1">
        <v>100</v>
      </c>
      <c r="D1467" s="1">
        <v>3.967123</v>
      </c>
      <c r="E1467" s="1">
        <v>0</v>
      </c>
      <c r="F1467" s="1">
        <v>3.967123</v>
      </c>
    </row>
    <row r="1468" spans="1:6">
      <c r="A1468" s="1" t="s">
        <v>430</v>
      </c>
      <c r="B1468" s="3">
        <v>46800</v>
      </c>
      <c r="C1468" s="1">
        <v>100</v>
      </c>
      <c r="D1468" s="1">
        <v>4.032877</v>
      </c>
      <c r="E1468" s="1">
        <v>0</v>
      </c>
      <c r="F1468" s="1">
        <v>4.032877</v>
      </c>
    </row>
    <row r="1469" spans="1:6">
      <c r="A1469" s="1" t="s">
        <v>430</v>
      </c>
      <c r="B1469" s="3">
        <v>46982</v>
      </c>
      <c r="C1469" s="1">
        <v>100</v>
      </c>
      <c r="D1469" s="1">
        <v>3.989041</v>
      </c>
      <c r="E1469" s="1">
        <v>0</v>
      </c>
      <c r="F1469" s="1">
        <v>3.989041</v>
      </c>
    </row>
    <row r="1470" spans="1:6">
      <c r="A1470" s="1" t="s">
        <v>430</v>
      </c>
      <c r="B1470" s="3">
        <v>47166</v>
      </c>
      <c r="C1470" s="1">
        <v>100</v>
      </c>
      <c r="D1470" s="1">
        <v>4.032877</v>
      </c>
      <c r="E1470" s="1">
        <v>0</v>
      </c>
      <c r="F1470" s="1">
        <v>4.032877</v>
      </c>
    </row>
    <row r="1471" spans="1:6">
      <c r="A1471" s="1" t="s">
        <v>430</v>
      </c>
      <c r="B1471" s="3">
        <v>47347</v>
      </c>
      <c r="C1471" s="1">
        <v>100</v>
      </c>
      <c r="D1471" s="1">
        <v>3.967123</v>
      </c>
      <c r="E1471" s="1">
        <v>0</v>
      </c>
      <c r="F1471" s="1">
        <v>3.967123</v>
      </c>
    </row>
    <row r="1472" spans="1:6">
      <c r="A1472" s="1" t="s">
        <v>430</v>
      </c>
      <c r="B1472" s="3">
        <v>47531</v>
      </c>
      <c r="C1472" s="1">
        <v>100</v>
      </c>
      <c r="D1472" s="1">
        <v>4.032877</v>
      </c>
      <c r="E1472" s="1">
        <v>0</v>
      </c>
      <c r="F1472" s="1">
        <v>4.032877</v>
      </c>
    </row>
    <row r="1473" spans="1:6">
      <c r="A1473" s="1" t="s">
        <v>430</v>
      </c>
      <c r="B1473" s="3">
        <v>47712</v>
      </c>
      <c r="C1473" s="1">
        <v>100</v>
      </c>
      <c r="D1473" s="1">
        <v>3.967123</v>
      </c>
      <c r="E1473" s="1">
        <v>0</v>
      </c>
      <c r="F1473" s="1">
        <v>3.967123</v>
      </c>
    </row>
    <row r="1474" spans="1:6">
      <c r="A1474" s="1" t="s">
        <v>430</v>
      </c>
      <c r="B1474" s="3">
        <v>47896</v>
      </c>
      <c r="C1474" s="1">
        <v>0</v>
      </c>
      <c r="D1474" s="1">
        <v>4.032877</v>
      </c>
      <c r="E1474" s="1">
        <v>100</v>
      </c>
      <c r="F1474" s="1">
        <v>104.032877</v>
      </c>
    </row>
    <row r="1475" spans="1:6">
      <c r="A1475" s="1" t="s">
        <v>431</v>
      </c>
      <c r="B1475" s="3">
        <v>45805</v>
      </c>
      <c r="C1475" s="1">
        <v>100</v>
      </c>
      <c r="D1475" s="1">
        <v>0</v>
      </c>
      <c r="E1475" s="1">
        <v>0</v>
      </c>
      <c r="F1475" s="1">
        <v>0</v>
      </c>
    </row>
    <row r="1476" spans="1:6">
      <c r="A1476" s="1" t="s">
        <v>431</v>
      </c>
      <c r="B1476" s="3">
        <v>45989</v>
      </c>
      <c r="C1476" s="1">
        <v>100</v>
      </c>
      <c r="D1476" s="1">
        <v>4.625</v>
      </c>
      <c r="E1476" s="1">
        <v>0</v>
      </c>
      <c r="F1476" s="1">
        <v>4.625</v>
      </c>
    </row>
    <row r="1477" spans="1:6">
      <c r="A1477" s="1" t="s">
        <v>431</v>
      </c>
      <c r="B1477" s="3">
        <v>46170</v>
      </c>
      <c r="C1477" s="1">
        <v>100</v>
      </c>
      <c r="D1477" s="1">
        <v>4.625</v>
      </c>
      <c r="E1477" s="1">
        <v>0</v>
      </c>
      <c r="F1477" s="1">
        <v>4.625</v>
      </c>
    </row>
    <row r="1478" spans="1:6">
      <c r="A1478" s="1" t="s">
        <v>431</v>
      </c>
      <c r="B1478" s="3">
        <v>46354</v>
      </c>
      <c r="C1478" s="1">
        <v>100</v>
      </c>
      <c r="D1478" s="1">
        <v>4.625</v>
      </c>
      <c r="E1478" s="1">
        <v>0</v>
      </c>
      <c r="F1478" s="1">
        <v>4.625</v>
      </c>
    </row>
    <row r="1479" spans="1:6">
      <c r="A1479" s="1" t="s">
        <v>431</v>
      </c>
      <c r="B1479" s="3">
        <v>46535</v>
      </c>
      <c r="C1479" s="1">
        <v>100</v>
      </c>
      <c r="D1479" s="1">
        <v>4.625</v>
      </c>
      <c r="E1479" s="1">
        <v>0</v>
      </c>
      <c r="F1479" s="1">
        <v>4.625</v>
      </c>
    </row>
    <row r="1480" spans="1:6">
      <c r="A1480" s="1" t="s">
        <v>431</v>
      </c>
      <c r="B1480" s="3">
        <v>46719</v>
      </c>
      <c r="C1480" s="1">
        <v>100</v>
      </c>
      <c r="D1480" s="1">
        <v>4.625</v>
      </c>
      <c r="E1480" s="1">
        <v>0</v>
      </c>
      <c r="F1480" s="1">
        <v>4.625</v>
      </c>
    </row>
    <row r="1481" spans="1:6">
      <c r="A1481" s="1" t="s">
        <v>431</v>
      </c>
      <c r="B1481" s="3">
        <v>46901</v>
      </c>
      <c r="C1481" s="1">
        <v>100</v>
      </c>
      <c r="D1481" s="1">
        <v>4.625</v>
      </c>
      <c r="E1481" s="1">
        <v>0</v>
      </c>
      <c r="F1481" s="1">
        <v>4.625</v>
      </c>
    </row>
    <row r="1482" spans="1:6">
      <c r="A1482" s="1" t="s">
        <v>431</v>
      </c>
      <c r="B1482" s="3">
        <v>47085</v>
      </c>
      <c r="C1482" s="1">
        <v>100</v>
      </c>
      <c r="D1482" s="1">
        <v>4.625</v>
      </c>
      <c r="E1482" s="1">
        <v>0</v>
      </c>
      <c r="F1482" s="1">
        <v>4.625</v>
      </c>
    </row>
    <row r="1483" spans="1:6">
      <c r="A1483" s="1" t="s">
        <v>431</v>
      </c>
      <c r="B1483" s="3">
        <v>47266</v>
      </c>
      <c r="C1483" s="1">
        <v>100</v>
      </c>
      <c r="D1483" s="1">
        <v>4.625</v>
      </c>
      <c r="E1483" s="1">
        <v>0</v>
      </c>
      <c r="F1483" s="1">
        <v>4.625</v>
      </c>
    </row>
    <row r="1484" spans="1:6">
      <c r="A1484" s="1" t="s">
        <v>431</v>
      </c>
      <c r="B1484" s="3">
        <v>47450</v>
      </c>
      <c r="C1484" s="1">
        <v>100</v>
      </c>
      <c r="D1484" s="1">
        <v>4.625</v>
      </c>
      <c r="E1484" s="1">
        <v>0</v>
      </c>
      <c r="F1484" s="1">
        <v>4.625</v>
      </c>
    </row>
    <row r="1485" spans="1:6">
      <c r="A1485" s="1" t="s">
        <v>431</v>
      </c>
      <c r="B1485" s="3">
        <v>47631</v>
      </c>
      <c r="C1485" s="1">
        <v>100</v>
      </c>
      <c r="D1485" s="1">
        <v>4.625</v>
      </c>
      <c r="E1485" s="1">
        <v>0</v>
      </c>
      <c r="F1485" s="1">
        <v>4.625</v>
      </c>
    </row>
    <row r="1486" spans="1:6">
      <c r="A1486" s="1" t="s">
        <v>431</v>
      </c>
      <c r="B1486" s="3">
        <v>47815</v>
      </c>
      <c r="C1486" s="1">
        <v>100</v>
      </c>
      <c r="D1486" s="1">
        <v>4.625</v>
      </c>
      <c r="E1486" s="1">
        <v>0</v>
      </c>
      <c r="F1486" s="1">
        <v>4.625</v>
      </c>
    </row>
    <row r="1487" spans="1:6">
      <c r="A1487" s="1" t="s">
        <v>431</v>
      </c>
      <c r="B1487" s="3">
        <v>47996</v>
      </c>
      <c r="C1487" s="1">
        <v>100</v>
      </c>
      <c r="D1487" s="1">
        <v>4.625</v>
      </c>
      <c r="E1487" s="1">
        <v>0</v>
      </c>
      <c r="F1487" s="1">
        <v>4.625</v>
      </c>
    </row>
    <row r="1488" spans="1:6">
      <c r="A1488" s="1" t="s">
        <v>431</v>
      </c>
      <c r="B1488" s="3">
        <v>48180</v>
      </c>
      <c r="C1488" s="1">
        <v>100</v>
      </c>
      <c r="D1488" s="1">
        <v>4.625</v>
      </c>
      <c r="E1488" s="1">
        <v>0</v>
      </c>
      <c r="F1488" s="1">
        <v>4.625</v>
      </c>
    </row>
    <row r="1489" spans="1:6">
      <c r="A1489" s="1" t="s">
        <v>431</v>
      </c>
      <c r="B1489" s="3">
        <v>48362</v>
      </c>
      <c r="C1489" s="1">
        <v>100</v>
      </c>
      <c r="D1489" s="1">
        <v>4.625</v>
      </c>
      <c r="E1489" s="1">
        <v>0</v>
      </c>
      <c r="F1489" s="1">
        <v>4.625</v>
      </c>
    </row>
    <row r="1490" spans="1:6">
      <c r="A1490" s="1" t="s">
        <v>431</v>
      </c>
      <c r="B1490" s="3">
        <v>48546</v>
      </c>
      <c r="C1490" s="1">
        <v>50</v>
      </c>
      <c r="D1490" s="1">
        <v>4.625</v>
      </c>
      <c r="E1490" s="1">
        <v>50</v>
      </c>
      <c r="F1490" s="1">
        <v>54.625</v>
      </c>
    </row>
    <row r="1491" spans="1:6">
      <c r="A1491" s="1" t="s">
        <v>431</v>
      </c>
      <c r="B1491" s="3">
        <v>48727</v>
      </c>
      <c r="C1491" s="1">
        <v>50</v>
      </c>
      <c r="D1491" s="1">
        <v>2.3125</v>
      </c>
      <c r="E1491" s="1">
        <v>0</v>
      </c>
      <c r="F1491" s="1">
        <v>2.3125</v>
      </c>
    </row>
    <row r="1492" spans="1:6">
      <c r="A1492" s="1" t="s">
        <v>431</v>
      </c>
      <c r="B1492" s="3">
        <v>48911</v>
      </c>
      <c r="C1492" s="1">
        <v>0</v>
      </c>
      <c r="D1492" s="1">
        <v>2.3125</v>
      </c>
      <c r="E1492" s="1">
        <v>50</v>
      </c>
      <c r="F1492" s="1">
        <v>52.3125</v>
      </c>
    </row>
    <row r="1493" spans="1:6">
      <c r="A1493" s="1" t="s">
        <v>432</v>
      </c>
      <c r="B1493" s="3">
        <v>45993</v>
      </c>
      <c r="C1493" s="1">
        <v>100</v>
      </c>
      <c r="D1493" s="1">
        <v>0</v>
      </c>
      <c r="E1493" s="1">
        <v>0</v>
      </c>
      <c r="F1493" s="1">
        <v>0</v>
      </c>
    </row>
    <row r="1494" spans="1:6">
      <c r="A1494" s="1" t="s">
        <v>432</v>
      </c>
      <c r="B1494" s="3">
        <v>46175</v>
      </c>
      <c r="C1494" s="1">
        <v>100</v>
      </c>
      <c r="D1494" s="1">
        <v>3.875</v>
      </c>
      <c r="E1494" s="1">
        <v>0</v>
      </c>
      <c r="F1494" s="1">
        <v>3.875</v>
      </c>
    </row>
    <row r="1495" spans="1:6">
      <c r="A1495" s="1" t="s">
        <v>432</v>
      </c>
      <c r="B1495" s="3">
        <v>46358</v>
      </c>
      <c r="C1495" s="1">
        <v>100</v>
      </c>
      <c r="D1495" s="1">
        <v>3.875</v>
      </c>
      <c r="E1495" s="1">
        <v>0</v>
      </c>
      <c r="F1495" s="1">
        <v>3.875</v>
      </c>
    </row>
    <row r="1496" spans="1:6">
      <c r="A1496" s="1" t="s">
        <v>432</v>
      </c>
      <c r="B1496" s="3">
        <v>46540</v>
      </c>
      <c r="C1496" s="1">
        <v>100</v>
      </c>
      <c r="D1496" s="1">
        <v>3.875</v>
      </c>
      <c r="E1496" s="1">
        <v>0</v>
      </c>
      <c r="F1496" s="1">
        <v>3.875</v>
      </c>
    </row>
    <row r="1497" spans="1:6">
      <c r="A1497" s="1" t="s">
        <v>432</v>
      </c>
      <c r="B1497" s="3">
        <v>46723</v>
      </c>
      <c r="C1497" s="1">
        <v>100</v>
      </c>
      <c r="D1497" s="1">
        <v>3.875</v>
      </c>
      <c r="E1497" s="1">
        <v>0</v>
      </c>
      <c r="F1497" s="1">
        <v>3.875</v>
      </c>
    </row>
    <row r="1498" spans="1:6">
      <c r="A1498" s="1" t="s">
        <v>432</v>
      </c>
      <c r="B1498" s="3">
        <v>46906</v>
      </c>
      <c r="C1498" s="1">
        <v>100</v>
      </c>
      <c r="D1498" s="1">
        <v>3.875</v>
      </c>
      <c r="E1498" s="1">
        <v>0</v>
      </c>
      <c r="F1498" s="1">
        <v>3.875</v>
      </c>
    </row>
    <row r="1499" spans="1:6">
      <c r="A1499" s="1" t="s">
        <v>432</v>
      </c>
      <c r="B1499" s="3">
        <v>47089</v>
      </c>
      <c r="C1499" s="1">
        <v>100</v>
      </c>
      <c r="D1499" s="1">
        <v>3.875</v>
      </c>
      <c r="E1499" s="1">
        <v>0</v>
      </c>
      <c r="F1499" s="1">
        <v>3.875</v>
      </c>
    </row>
    <row r="1500" spans="1:6">
      <c r="A1500" s="1" t="s">
        <v>432</v>
      </c>
      <c r="B1500" s="3">
        <v>47271</v>
      </c>
      <c r="C1500" s="1">
        <v>100</v>
      </c>
      <c r="D1500" s="1">
        <v>3.875</v>
      </c>
      <c r="E1500" s="1">
        <v>0</v>
      </c>
      <c r="F1500" s="1">
        <v>3.875</v>
      </c>
    </row>
    <row r="1501" spans="1:6">
      <c r="A1501" s="1" t="s">
        <v>432</v>
      </c>
      <c r="B1501" s="3">
        <v>47454</v>
      </c>
      <c r="C1501" s="1">
        <v>100</v>
      </c>
      <c r="D1501" s="1">
        <v>3.875</v>
      </c>
      <c r="E1501" s="1">
        <v>0</v>
      </c>
      <c r="F1501" s="1">
        <v>3.875</v>
      </c>
    </row>
    <row r="1502" spans="1:6">
      <c r="A1502" s="1" t="s">
        <v>432</v>
      </c>
      <c r="B1502" s="3">
        <v>47636</v>
      </c>
      <c r="C1502" s="1">
        <v>100</v>
      </c>
      <c r="D1502" s="1">
        <v>3.875</v>
      </c>
      <c r="E1502" s="1">
        <v>0</v>
      </c>
      <c r="F1502" s="1">
        <v>3.875</v>
      </c>
    </row>
    <row r="1503" spans="1:6">
      <c r="A1503" s="1" t="s">
        <v>432</v>
      </c>
      <c r="B1503" s="3">
        <v>47819</v>
      </c>
      <c r="C1503" s="1">
        <v>100</v>
      </c>
      <c r="D1503" s="1">
        <v>3.875</v>
      </c>
      <c r="E1503" s="1">
        <v>0</v>
      </c>
      <c r="F1503" s="1">
        <v>3.875</v>
      </c>
    </row>
    <row r="1504" spans="1:6">
      <c r="A1504" s="1" t="s">
        <v>432</v>
      </c>
      <c r="B1504" s="3">
        <v>48001</v>
      </c>
      <c r="C1504" s="1">
        <v>100</v>
      </c>
      <c r="D1504" s="1">
        <v>3.875</v>
      </c>
      <c r="E1504" s="1">
        <v>0</v>
      </c>
      <c r="F1504" s="1">
        <v>3.875</v>
      </c>
    </row>
    <row r="1505" spans="1:6">
      <c r="A1505" s="1" t="s">
        <v>432</v>
      </c>
      <c r="B1505" s="3">
        <v>48184</v>
      </c>
      <c r="C1505" s="1">
        <v>67</v>
      </c>
      <c r="D1505" s="1">
        <v>3.875</v>
      </c>
      <c r="E1505" s="1">
        <v>33</v>
      </c>
      <c r="F1505" s="1">
        <v>36.875</v>
      </c>
    </row>
    <row r="1506" spans="1:6">
      <c r="A1506" s="1" t="s">
        <v>432</v>
      </c>
      <c r="B1506" s="3">
        <v>48367</v>
      </c>
      <c r="C1506" s="1">
        <v>67</v>
      </c>
      <c r="D1506" s="1">
        <v>2.59625</v>
      </c>
      <c r="E1506" s="1">
        <v>0</v>
      </c>
      <c r="F1506" s="1">
        <v>2.59625</v>
      </c>
    </row>
    <row r="1507" spans="1:6">
      <c r="A1507" s="1" t="s">
        <v>432</v>
      </c>
      <c r="B1507" s="3">
        <v>48550</v>
      </c>
      <c r="C1507" s="1">
        <v>34</v>
      </c>
      <c r="D1507" s="1">
        <v>2.59625</v>
      </c>
      <c r="E1507" s="1">
        <v>33</v>
      </c>
      <c r="F1507" s="1">
        <v>35.59625</v>
      </c>
    </row>
    <row r="1508" spans="1:6">
      <c r="A1508" s="1" t="s">
        <v>432</v>
      </c>
      <c r="B1508" s="3">
        <v>48732</v>
      </c>
      <c r="C1508" s="1">
        <v>34</v>
      </c>
      <c r="D1508" s="1">
        <v>1.3175</v>
      </c>
      <c r="E1508" s="1">
        <v>0</v>
      </c>
      <c r="F1508" s="1">
        <v>1.3175</v>
      </c>
    </row>
    <row r="1509" spans="1:6">
      <c r="A1509" s="1" t="s">
        <v>432</v>
      </c>
      <c r="B1509" s="3">
        <v>48915</v>
      </c>
      <c r="C1509" s="1">
        <v>0</v>
      </c>
      <c r="D1509" s="1">
        <v>1.3175</v>
      </c>
      <c r="E1509" s="1">
        <v>34</v>
      </c>
      <c r="F1509" s="1">
        <v>35.3175</v>
      </c>
    </row>
    <row r="1510" spans="1:6">
      <c r="A1510" s="1" t="s">
        <v>433</v>
      </c>
      <c r="B1510" s="3">
        <v>46335</v>
      </c>
      <c r="C1510" s="1">
        <v>100</v>
      </c>
      <c r="D1510" s="1">
        <v>2.89863</v>
      </c>
      <c r="E1510" s="1">
        <v>0</v>
      </c>
      <c r="F1510" s="1">
        <v>2.89863</v>
      </c>
    </row>
    <row r="1511" spans="1:6">
      <c r="A1511" s="1" t="s">
        <v>433</v>
      </c>
      <c r="B1511" s="3">
        <v>46517</v>
      </c>
      <c r="C1511" s="1">
        <v>100</v>
      </c>
      <c r="D1511" s="1">
        <v>2.85137</v>
      </c>
      <c r="E1511" s="1">
        <v>0</v>
      </c>
      <c r="F1511" s="1">
        <v>2.85137</v>
      </c>
    </row>
    <row r="1512" spans="1:6">
      <c r="A1512" s="1" t="s">
        <v>433</v>
      </c>
      <c r="B1512" s="3">
        <v>46699</v>
      </c>
      <c r="C1512" s="1">
        <v>100</v>
      </c>
      <c r="D1512" s="1">
        <v>2.89863</v>
      </c>
      <c r="E1512" s="1">
        <v>0</v>
      </c>
      <c r="F1512" s="1">
        <v>2.89863</v>
      </c>
    </row>
    <row r="1513" spans="1:6">
      <c r="A1513" s="1" t="s">
        <v>433</v>
      </c>
      <c r="B1513" s="3">
        <v>46881</v>
      </c>
      <c r="C1513" s="1">
        <v>100</v>
      </c>
      <c r="D1513" s="1">
        <v>2.867123</v>
      </c>
      <c r="E1513" s="1">
        <v>0</v>
      </c>
      <c r="F1513" s="1">
        <v>2.867123</v>
      </c>
    </row>
    <row r="1514" spans="1:6">
      <c r="A1514" s="1" t="s">
        <v>433</v>
      </c>
      <c r="B1514" s="3">
        <v>47065</v>
      </c>
      <c r="C1514" s="1">
        <v>100</v>
      </c>
      <c r="D1514" s="1">
        <v>2.89863</v>
      </c>
      <c r="E1514" s="1">
        <v>0</v>
      </c>
      <c r="F1514" s="1">
        <v>2.89863</v>
      </c>
    </row>
    <row r="1515" spans="1:6">
      <c r="A1515" s="1" t="s">
        <v>433</v>
      </c>
      <c r="B1515" s="3">
        <v>47246</v>
      </c>
      <c r="C1515" s="1">
        <v>100</v>
      </c>
      <c r="D1515" s="1">
        <v>2.85137</v>
      </c>
      <c r="E1515" s="1">
        <v>0</v>
      </c>
      <c r="F1515" s="1">
        <v>2.85137</v>
      </c>
    </row>
    <row r="1516" spans="1:6">
      <c r="A1516" s="1" t="s">
        <v>433</v>
      </c>
      <c r="B1516" s="3">
        <v>47430</v>
      </c>
      <c r="C1516" s="1">
        <v>0</v>
      </c>
      <c r="D1516" s="1">
        <v>2.89863</v>
      </c>
      <c r="E1516" s="1">
        <v>100</v>
      </c>
      <c r="F1516" s="1">
        <v>102.89863</v>
      </c>
    </row>
    <row r="1517" spans="1:6">
      <c r="A1517" s="1" t="s">
        <v>435</v>
      </c>
      <c r="B1517" s="3">
        <v>46118</v>
      </c>
      <c r="C1517" s="1">
        <v>100</v>
      </c>
      <c r="D1517" s="1">
        <v>2.941918</v>
      </c>
      <c r="E1517" s="1">
        <v>0</v>
      </c>
      <c r="F1517" s="1">
        <v>2.941918</v>
      </c>
    </row>
    <row r="1518" spans="1:6">
      <c r="A1518" s="1" t="s">
        <v>435</v>
      </c>
      <c r="B1518" s="3">
        <v>46301</v>
      </c>
      <c r="C1518" s="1">
        <v>0</v>
      </c>
      <c r="D1518" s="1">
        <v>2.958082</v>
      </c>
      <c r="E1518" s="1">
        <v>100</v>
      </c>
      <c r="F1518" s="1">
        <v>102.958082</v>
      </c>
    </row>
    <row r="1519" spans="1:6">
      <c r="A1519" s="1" t="s">
        <v>437</v>
      </c>
      <c r="B1519" s="3">
        <v>45804</v>
      </c>
      <c r="C1519" s="1">
        <v>100</v>
      </c>
      <c r="D1519" s="1">
        <v>1.523973</v>
      </c>
      <c r="E1519" s="1">
        <v>0</v>
      </c>
      <c r="F1519" s="1">
        <v>1.523973</v>
      </c>
    </row>
    <row r="1520" spans="1:6">
      <c r="A1520" s="1" t="s">
        <v>437</v>
      </c>
      <c r="B1520" s="3">
        <v>45896</v>
      </c>
      <c r="C1520" s="1">
        <v>100</v>
      </c>
      <c r="D1520" s="1">
        <v>1.575342</v>
      </c>
      <c r="E1520" s="1">
        <v>0</v>
      </c>
      <c r="F1520" s="1">
        <v>1.575342</v>
      </c>
    </row>
    <row r="1521" spans="1:6">
      <c r="A1521" s="1" t="s">
        <v>437</v>
      </c>
      <c r="B1521" s="3">
        <v>45988</v>
      </c>
      <c r="C1521" s="1">
        <v>100</v>
      </c>
      <c r="D1521" s="1">
        <v>1.575342</v>
      </c>
      <c r="E1521" s="1">
        <v>0</v>
      </c>
      <c r="F1521" s="1">
        <v>1.575342</v>
      </c>
    </row>
    <row r="1522" spans="1:6">
      <c r="A1522" s="1" t="s">
        <v>437</v>
      </c>
      <c r="B1522" s="3">
        <v>46080</v>
      </c>
      <c r="C1522" s="1">
        <v>100</v>
      </c>
      <c r="D1522" s="1">
        <v>1.575342</v>
      </c>
      <c r="E1522" s="1">
        <v>0</v>
      </c>
      <c r="F1522" s="1">
        <v>1.575342</v>
      </c>
    </row>
    <row r="1523" spans="1:6">
      <c r="A1523" s="1" t="s">
        <v>437</v>
      </c>
      <c r="B1523" s="3">
        <v>46169</v>
      </c>
      <c r="C1523" s="1">
        <v>100</v>
      </c>
      <c r="D1523" s="1">
        <v>1.523973</v>
      </c>
      <c r="E1523" s="1">
        <v>0</v>
      </c>
      <c r="F1523" s="1">
        <v>1.523973</v>
      </c>
    </row>
    <row r="1524" spans="1:6">
      <c r="A1524" s="1" t="s">
        <v>437</v>
      </c>
      <c r="B1524" s="3">
        <v>46261</v>
      </c>
      <c r="C1524" s="1">
        <v>100</v>
      </c>
      <c r="D1524" s="1">
        <v>1.575342</v>
      </c>
      <c r="E1524" s="1">
        <v>0</v>
      </c>
      <c r="F1524" s="1">
        <v>1.575342</v>
      </c>
    </row>
    <row r="1525" spans="1:6">
      <c r="A1525" s="1" t="s">
        <v>437</v>
      </c>
      <c r="B1525" s="3">
        <v>46353</v>
      </c>
      <c r="C1525" s="1">
        <v>100</v>
      </c>
      <c r="D1525" s="1">
        <v>1.575342</v>
      </c>
      <c r="E1525" s="1">
        <v>0</v>
      </c>
      <c r="F1525" s="1">
        <v>1.575342</v>
      </c>
    </row>
    <row r="1526" spans="1:6">
      <c r="A1526" s="1" t="s">
        <v>437</v>
      </c>
      <c r="B1526" s="3">
        <v>46444</v>
      </c>
      <c r="C1526" s="1">
        <v>0</v>
      </c>
      <c r="D1526" s="1">
        <v>1.575342</v>
      </c>
      <c r="E1526" s="1">
        <v>100</v>
      </c>
      <c r="F1526" s="1">
        <v>101.575342</v>
      </c>
    </row>
    <row r="1527" spans="1:6">
      <c r="A1527" s="1" t="s">
        <v>439</v>
      </c>
      <c r="B1527" s="3">
        <v>46073</v>
      </c>
      <c r="C1527" s="1">
        <v>100</v>
      </c>
      <c r="D1527" s="1">
        <v>4.875</v>
      </c>
      <c r="E1527" s="1">
        <v>0</v>
      </c>
      <c r="F1527" s="1">
        <v>4.875</v>
      </c>
    </row>
    <row r="1528" spans="1:6">
      <c r="A1528" s="1" t="s">
        <v>439</v>
      </c>
      <c r="B1528" s="3">
        <v>46162</v>
      </c>
      <c r="C1528" s="1">
        <v>100</v>
      </c>
      <c r="D1528" s="1">
        <v>1.625</v>
      </c>
      <c r="E1528" s="1">
        <v>0</v>
      </c>
      <c r="F1528" s="1">
        <v>1.625</v>
      </c>
    </row>
    <row r="1529" spans="1:6">
      <c r="A1529" s="1" t="s">
        <v>439</v>
      </c>
      <c r="B1529" s="3">
        <v>46254</v>
      </c>
      <c r="C1529" s="1">
        <v>100</v>
      </c>
      <c r="D1529" s="1">
        <v>1.625</v>
      </c>
      <c r="E1529" s="1">
        <v>0</v>
      </c>
      <c r="F1529" s="1">
        <v>1.625</v>
      </c>
    </row>
    <row r="1530" spans="1:6">
      <c r="A1530" s="1" t="s">
        <v>439</v>
      </c>
      <c r="B1530" s="3">
        <v>46346</v>
      </c>
      <c r="C1530" s="1">
        <v>100</v>
      </c>
      <c r="D1530" s="1">
        <v>1.625</v>
      </c>
      <c r="E1530" s="1">
        <v>0</v>
      </c>
      <c r="F1530" s="1">
        <v>1.625</v>
      </c>
    </row>
    <row r="1531" spans="1:6">
      <c r="A1531" s="1" t="s">
        <v>439</v>
      </c>
      <c r="B1531" s="3">
        <v>46440</v>
      </c>
      <c r="C1531" s="1">
        <v>100</v>
      </c>
      <c r="D1531" s="1">
        <v>1.625</v>
      </c>
      <c r="E1531" s="1">
        <v>0</v>
      </c>
      <c r="F1531" s="1">
        <v>1.625</v>
      </c>
    </row>
    <row r="1532" spans="1:6">
      <c r="A1532" s="1" t="s">
        <v>439</v>
      </c>
      <c r="B1532" s="3">
        <v>46527</v>
      </c>
      <c r="C1532" s="1">
        <v>0</v>
      </c>
      <c r="D1532" s="1">
        <v>1.625</v>
      </c>
      <c r="E1532" s="1">
        <v>100</v>
      </c>
      <c r="F1532" s="1">
        <v>101.625</v>
      </c>
    </row>
    <row r="1533" spans="1:6">
      <c r="A1533" s="1" t="s">
        <v>441</v>
      </c>
      <c r="B1533" s="3">
        <v>46260</v>
      </c>
      <c r="C1533" s="1">
        <v>100</v>
      </c>
      <c r="D1533" s="1">
        <v>3.967123</v>
      </c>
      <c r="E1533" s="1">
        <v>0</v>
      </c>
      <c r="F1533" s="1">
        <v>3.967123</v>
      </c>
    </row>
    <row r="1534" spans="1:6">
      <c r="A1534" s="1" t="s">
        <v>441</v>
      </c>
      <c r="B1534" s="3">
        <v>46444</v>
      </c>
      <c r="C1534" s="1">
        <v>100</v>
      </c>
      <c r="D1534" s="1">
        <v>4.032877</v>
      </c>
      <c r="E1534" s="1">
        <v>0</v>
      </c>
      <c r="F1534" s="1">
        <v>4.032877</v>
      </c>
    </row>
    <row r="1535" spans="1:6">
      <c r="A1535" s="1" t="s">
        <v>441</v>
      </c>
      <c r="B1535" s="3">
        <v>46625</v>
      </c>
      <c r="C1535" s="1">
        <v>100</v>
      </c>
      <c r="D1535" s="1">
        <v>3.967123</v>
      </c>
      <c r="E1535" s="1">
        <v>0</v>
      </c>
      <c r="F1535" s="1">
        <v>3.967123</v>
      </c>
    </row>
    <row r="1536" spans="1:6">
      <c r="A1536" s="1" t="s">
        <v>441</v>
      </c>
      <c r="B1536" s="3">
        <v>46813</v>
      </c>
      <c r="C1536" s="1">
        <v>100</v>
      </c>
      <c r="D1536" s="1">
        <v>4.120548</v>
      </c>
      <c r="E1536" s="1">
        <v>0</v>
      </c>
      <c r="F1536" s="1">
        <v>4.120548</v>
      </c>
    </row>
    <row r="1537" spans="1:6">
      <c r="A1537" s="1" t="s">
        <v>441</v>
      </c>
      <c r="B1537" s="3">
        <v>46993</v>
      </c>
      <c r="C1537" s="1">
        <v>100</v>
      </c>
      <c r="D1537" s="1">
        <v>3.945205</v>
      </c>
      <c r="E1537" s="1">
        <v>0</v>
      </c>
      <c r="F1537" s="1">
        <v>3.945205</v>
      </c>
    </row>
    <row r="1538" spans="1:6">
      <c r="A1538" s="1" t="s">
        <v>441</v>
      </c>
      <c r="B1538" s="3">
        <v>47175</v>
      </c>
      <c r="C1538" s="1">
        <v>0</v>
      </c>
      <c r="D1538" s="1">
        <v>3.989041</v>
      </c>
      <c r="E1538" s="1">
        <v>100</v>
      </c>
      <c r="F1538" s="1">
        <v>103.989041</v>
      </c>
    </row>
    <row r="1539" spans="1:6">
      <c r="A1539" s="1" t="s">
        <v>443</v>
      </c>
      <c r="B1539" s="3">
        <v>46160</v>
      </c>
      <c r="C1539" s="1">
        <v>100</v>
      </c>
      <c r="D1539" s="1">
        <v>2.011644</v>
      </c>
      <c r="E1539" s="1">
        <v>0</v>
      </c>
      <c r="F1539" s="1">
        <v>2.011644</v>
      </c>
    </row>
    <row r="1540" spans="1:6">
      <c r="A1540" s="1" t="s">
        <v>443</v>
      </c>
      <c r="B1540" s="3">
        <v>46252</v>
      </c>
      <c r="C1540" s="1">
        <v>100</v>
      </c>
      <c r="D1540" s="1">
        <v>2.079452</v>
      </c>
      <c r="E1540" s="1">
        <v>0</v>
      </c>
      <c r="F1540" s="1">
        <v>2.079452</v>
      </c>
    </row>
    <row r="1541" spans="1:6">
      <c r="A1541" s="1" t="s">
        <v>443</v>
      </c>
      <c r="B1541" s="3">
        <v>46344</v>
      </c>
      <c r="C1541" s="1">
        <v>100</v>
      </c>
      <c r="D1541" s="1">
        <v>2.079452</v>
      </c>
      <c r="E1541" s="1">
        <v>0</v>
      </c>
      <c r="F1541" s="1">
        <v>2.079452</v>
      </c>
    </row>
    <row r="1542" spans="1:6">
      <c r="A1542" s="1" t="s">
        <v>443</v>
      </c>
      <c r="B1542" s="3">
        <v>46436</v>
      </c>
      <c r="C1542" s="1">
        <v>0</v>
      </c>
      <c r="D1542" s="1">
        <v>2.079452</v>
      </c>
      <c r="E1542" s="1">
        <v>100</v>
      </c>
      <c r="F1542" s="1">
        <v>102.079452</v>
      </c>
    </row>
    <row r="1543" spans="1:6">
      <c r="A1543" s="1" t="s">
        <v>445</v>
      </c>
      <c r="B1543" s="3">
        <v>46295</v>
      </c>
      <c r="C1543" s="1">
        <v>100</v>
      </c>
      <c r="D1543" s="1">
        <v>1.512329</v>
      </c>
      <c r="E1543" s="1">
        <v>0</v>
      </c>
      <c r="F1543" s="1">
        <v>1.512329</v>
      </c>
    </row>
    <row r="1544" spans="1:6">
      <c r="A1544" s="1" t="s">
        <v>445</v>
      </c>
      <c r="B1544" s="3">
        <v>46386</v>
      </c>
      <c r="C1544" s="1">
        <v>100</v>
      </c>
      <c r="D1544" s="1">
        <v>1.49589</v>
      </c>
      <c r="E1544" s="1">
        <v>0</v>
      </c>
      <c r="F1544" s="1">
        <v>1.49589</v>
      </c>
    </row>
    <row r="1545" spans="1:6">
      <c r="A1545" s="1" t="s">
        <v>445</v>
      </c>
      <c r="B1545" s="3">
        <v>46476</v>
      </c>
      <c r="C1545" s="1">
        <v>100</v>
      </c>
      <c r="D1545" s="1">
        <v>1.479452</v>
      </c>
      <c r="E1545" s="1">
        <v>0</v>
      </c>
      <c r="F1545" s="1">
        <v>1.479452</v>
      </c>
    </row>
    <row r="1546" spans="1:6">
      <c r="A1546" s="1" t="s">
        <v>445</v>
      </c>
      <c r="B1546" s="3">
        <v>46574</v>
      </c>
      <c r="C1546" s="1">
        <v>0</v>
      </c>
      <c r="D1546" s="1">
        <v>1.610959</v>
      </c>
      <c r="E1546" s="1">
        <v>100</v>
      </c>
      <c r="F1546" s="1">
        <v>101.610959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LECAPS</vt:lpstr>
      <vt:lpstr>TASA FIJA</vt:lpstr>
      <vt:lpstr>CER</vt:lpstr>
      <vt:lpstr>TAMAR</vt:lpstr>
      <vt:lpstr>USD Linked</vt:lpstr>
      <vt:lpstr>USD Bonares</vt:lpstr>
      <vt:lpstr>USD Globales</vt:lpstr>
      <vt:lpstr>USD Bopreales</vt:lpstr>
      <vt:lpstr>Duales</vt:lpstr>
      <vt:lpstr>ON 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Granda</dc:creator>
  <cp:lastModifiedBy>Francisco Granda</cp:lastModifiedBy>
  <dcterms:created xsi:type="dcterms:W3CDTF">2026-05-20T13:17:11Z</dcterms:created>
  <dcterms:modified xsi:type="dcterms:W3CDTF">2026-07-17T13:50:52Z</dcterms:modified>
</cp:coreProperties>
</file>