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anciscogranda/Desktop/Balanz/Monitores AI/Monitor Renta Fija ARG/"/>
    </mc:Choice>
  </mc:AlternateContent>
  <xr:revisionPtr revIDLastSave="0" documentId="13_ncr:1_{FE320034-8890-DD4F-890C-F276995CFCBD}" xr6:coauthVersionLast="47" xr6:coauthVersionMax="47" xr10:uidLastSave="{00000000-0000-0000-0000-000000000000}"/>
  <bookViews>
    <workbookView xWindow="0" yWindow="760" windowWidth="29400" windowHeight="16940" xr2:uid="{7C3A8D91-A832-4A46-9693-985FAB776CCF}"/>
  </bookViews>
  <sheets>
    <sheet name="LECAPS" sheetId="1" r:id="rId1"/>
    <sheet name="TASA FIJA" sheetId="2" r:id="rId2"/>
    <sheet name="CER" sheetId="3" r:id="rId3"/>
    <sheet name="TAMAR" sheetId="4" r:id="rId4"/>
    <sheet name="USD Linked" sheetId="5" r:id="rId5"/>
    <sheet name="USD Bonares" sheetId="7" r:id="rId6"/>
    <sheet name="USD Globales" sheetId="8" r:id="rId7"/>
    <sheet name="USD Bopreales" sheetId="9" r:id="rId8"/>
    <sheet name="Duales" sheetId="10" r:id="rId9"/>
    <sheet name="ON USD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6" i="1" l="1"/>
  <c r="F7" i="1"/>
  <c r="F8" i="1"/>
  <c r="F9" i="1"/>
  <c r="F10" i="1"/>
  <c r="F11" i="1"/>
  <c r="F12" i="1"/>
  <c r="F13" i="1"/>
  <c r="F14" i="1"/>
  <c r="F15" i="1"/>
  <c r="F16" i="1"/>
  <c r="F17" i="1"/>
  <c r="F5" i="1"/>
  <c r="F4" i="1"/>
  <c r="F3" i="1"/>
  <c r="F2" i="1"/>
  <c r="G17" i="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37" i="11"/>
  <c r="B37" i="11"/>
  <c r="B38" i="11" s="1"/>
  <c r="B39" i="11" s="1"/>
  <c r="B40" i="11" s="1"/>
  <c r="B41" i="11" s="1"/>
  <c r="C57" i="11"/>
  <c r="C58" i="11" s="1"/>
  <c r="G56" i="11"/>
  <c r="C37" i="11"/>
  <c r="C38" i="11" s="1"/>
  <c r="G36" i="11"/>
  <c r="E22" i="11"/>
  <c r="G22" i="11" s="1"/>
  <c r="C22" i="11"/>
  <c r="E23" i="11" s="1"/>
  <c r="G23" i="11" s="1"/>
  <c r="G21" i="11"/>
  <c r="E12" i="11"/>
  <c r="G12" i="11" s="1"/>
  <c r="C12" i="11"/>
  <c r="E13" i="11" s="1"/>
  <c r="G13" i="11" s="1"/>
  <c r="G11" i="11"/>
  <c r="E4" i="11"/>
  <c r="G4" i="11" s="1"/>
  <c r="E3" i="11"/>
  <c r="G3" i="11" s="1"/>
  <c r="C3" i="11"/>
  <c r="C4" i="11" s="1"/>
  <c r="E5" i="11" s="1"/>
  <c r="G2" i="11"/>
  <c r="G16" i="1"/>
  <c r="F19" i="10"/>
  <c r="G19" i="10" s="1"/>
  <c r="F14" i="10"/>
  <c r="G14" i="10" s="1"/>
  <c r="E58" i="11" l="1"/>
  <c r="G58" i="11" s="1"/>
  <c r="B42" i="11"/>
  <c r="B43" i="11" s="1"/>
  <c r="E59" i="11"/>
  <c r="G59" i="11" s="1"/>
  <c r="E57" i="11"/>
  <c r="G57" i="11" s="1"/>
  <c r="C59" i="11"/>
  <c r="G39" i="11"/>
  <c r="G38" i="11"/>
  <c r="G37" i="11"/>
  <c r="C39" i="11"/>
  <c r="C23" i="11"/>
  <c r="C13" i="11"/>
  <c r="C5" i="11"/>
  <c r="E6" i="11" s="1"/>
  <c r="G5" i="11"/>
  <c r="E37" i="9"/>
  <c r="G37" i="9" s="1"/>
  <c r="E36" i="9"/>
  <c r="G36" i="9" s="1"/>
  <c r="C36" i="9"/>
  <c r="C37" i="9" s="1"/>
  <c r="G35" i="9"/>
  <c r="E35" i="9"/>
  <c r="E34" i="9"/>
  <c r="G34" i="9" s="1"/>
  <c r="E33" i="9"/>
  <c r="G33" i="9" s="1"/>
  <c r="G32" i="9"/>
  <c r="E27" i="9"/>
  <c r="G27" i="9" s="1"/>
  <c r="E26" i="9"/>
  <c r="G26" i="9" s="1"/>
  <c r="C26" i="9"/>
  <c r="C27" i="9" s="1"/>
  <c r="E25" i="9"/>
  <c r="G25" i="9" s="1"/>
  <c r="E24" i="9"/>
  <c r="G24" i="9" s="1"/>
  <c r="E23" i="9"/>
  <c r="G23" i="9" s="1"/>
  <c r="G22" i="9"/>
  <c r="E19" i="9"/>
  <c r="G19" i="9" s="1"/>
  <c r="E18" i="9"/>
  <c r="G18" i="9" s="1"/>
  <c r="C18" i="9"/>
  <c r="C19" i="9" s="1"/>
  <c r="E17" i="9"/>
  <c r="G17" i="9" s="1"/>
  <c r="E16" i="9"/>
  <c r="G16" i="9" s="1"/>
  <c r="E15" i="9"/>
  <c r="G15" i="9" s="1"/>
  <c r="E14" i="9"/>
  <c r="G14" i="9" s="1"/>
  <c r="E13" i="9"/>
  <c r="G13" i="9" s="1"/>
  <c r="G12" i="9"/>
  <c r="C8" i="9"/>
  <c r="E9" i="9" s="1"/>
  <c r="G9" i="9" s="1"/>
  <c r="E4" i="9"/>
  <c r="G4" i="9" s="1"/>
  <c r="E6" i="9"/>
  <c r="G6" i="9" s="1"/>
  <c r="E7" i="9"/>
  <c r="G7" i="9" s="1"/>
  <c r="E8" i="9"/>
  <c r="G8" i="9" s="1"/>
  <c r="E3" i="9"/>
  <c r="G3" i="9" s="1"/>
  <c r="G2" i="9"/>
  <c r="C165" i="8"/>
  <c r="C166" i="8" s="1"/>
  <c r="C167" i="8" s="1"/>
  <c r="C168" i="8" s="1"/>
  <c r="C169" i="8" s="1"/>
  <c r="C170" i="8" s="1"/>
  <c r="E158" i="8"/>
  <c r="G158" i="8" s="1"/>
  <c r="G157" i="8"/>
  <c r="C127" i="8"/>
  <c r="C126" i="8"/>
  <c r="E114" i="8"/>
  <c r="G114" i="8" s="1"/>
  <c r="G113" i="8"/>
  <c r="C89" i="8"/>
  <c r="C90" i="8" s="1"/>
  <c r="E77" i="8"/>
  <c r="G77" i="8" s="1"/>
  <c r="G76" i="8"/>
  <c r="C65" i="8"/>
  <c r="C66" i="8" s="1"/>
  <c r="C64" i="8"/>
  <c r="E46" i="8"/>
  <c r="G46" i="8" s="1"/>
  <c r="E45" i="8"/>
  <c r="G45" i="8" s="1"/>
  <c r="G44" i="8"/>
  <c r="C30" i="8"/>
  <c r="C31" i="8" s="1"/>
  <c r="C29" i="8"/>
  <c r="E24" i="8"/>
  <c r="G24" i="8" s="1"/>
  <c r="G23" i="8"/>
  <c r="E23" i="8"/>
  <c r="G22" i="8"/>
  <c r="C10" i="8"/>
  <c r="E4" i="8"/>
  <c r="G4" i="8" s="1"/>
  <c r="E3" i="8"/>
  <c r="G3" i="8" s="1"/>
  <c r="G2" i="8"/>
  <c r="C196" i="7"/>
  <c r="C197" i="7" s="1"/>
  <c r="C198" i="7" s="1"/>
  <c r="C199" i="7" s="1"/>
  <c r="C200" i="7" s="1"/>
  <c r="C201" i="7" s="1"/>
  <c r="C202" i="7" s="1"/>
  <c r="C203" i="7" s="1"/>
  <c r="C204" i="7" s="1"/>
  <c r="C205" i="7" s="1"/>
  <c r="C206" i="7" s="1"/>
  <c r="C207" i="7" s="1"/>
  <c r="C208" i="7" s="1"/>
  <c r="C209" i="7" s="1"/>
  <c r="C210" i="7" s="1"/>
  <c r="C211" i="7" s="1"/>
  <c r="C212" i="7" s="1"/>
  <c r="C213" i="7" s="1"/>
  <c r="C214" i="7" s="1"/>
  <c r="C215" i="7" s="1"/>
  <c r="C216" i="7" s="1"/>
  <c r="C217" i="7" s="1"/>
  <c r="C218" i="7" s="1"/>
  <c r="C219" i="7" s="1"/>
  <c r="C220" i="7" s="1"/>
  <c r="C221" i="7" s="1"/>
  <c r="C194" i="7"/>
  <c r="E183" i="7"/>
  <c r="G183" i="7" s="1"/>
  <c r="E182" i="7"/>
  <c r="G182" i="7" s="1"/>
  <c r="G181" i="7"/>
  <c r="C158" i="7"/>
  <c r="C159" i="7" s="1"/>
  <c r="C160" i="7" s="1"/>
  <c r="C161" i="7" s="1"/>
  <c r="C162" i="7" s="1"/>
  <c r="C163" i="7" s="1"/>
  <c r="C164" i="7" s="1"/>
  <c r="C165" i="7" s="1"/>
  <c r="C166" i="7" s="1"/>
  <c r="C167" i="7" s="1"/>
  <c r="C168" i="7" s="1"/>
  <c r="C169" i="7" s="1"/>
  <c r="C170" i="7" s="1"/>
  <c r="C171" i="7" s="1"/>
  <c r="C172" i="7" s="1"/>
  <c r="C173" i="7" s="1"/>
  <c r="C174" i="7" s="1"/>
  <c r="C175" i="7" s="1"/>
  <c r="C176" i="7" s="1"/>
  <c r="C177" i="7" s="1"/>
  <c r="C157" i="7"/>
  <c r="E145" i="7"/>
  <c r="G145" i="7" s="1"/>
  <c r="G144" i="7"/>
  <c r="C133" i="7"/>
  <c r="C134" i="7"/>
  <c r="C135" i="7" s="1"/>
  <c r="C136" i="7" s="1"/>
  <c r="C137" i="7" s="1"/>
  <c r="C132" i="7"/>
  <c r="E119" i="7"/>
  <c r="G119" i="7" s="1"/>
  <c r="E118" i="7"/>
  <c r="G118" i="7" s="1"/>
  <c r="E113" i="7"/>
  <c r="G113" i="7" s="1"/>
  <c r="G112" i="7"/>
  <c r="C98" i="7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C97" i="7"/>
  <c r="E91" i="7"/>
  <c r="G91" i="7" s="1"/>
  <c r="G90" i="7"/>
  <c r="C87" i="7"/>
  <c r="E81" i="7"/>
  <c r="G81" i="7" s="1"/>
  <c r="E80" i="7"/>
  <c r="G80" i="7" s="1"/>
  <c r="G79" i="7"/>
  <c r="C68" i="7"/>
  <c r="C69" i="7" s="1"/>
  <c r="C70" i="7" s="1"/>
  <c r="C67" i="7"/>
  <c r="E61" i="7"/>
  <c r="G61" i="7" s="1"/>
  <c r="E60" i="7"/>
  <c r="G60" i="7" s="1"/>
  <c r="G59" i="7"/>
  <c r="C56" i="7"/>
  <c r="E44" i="7"/>
  <c r="G44" i="7" s="1"/>
  <c r="E45" i="7"/>
  <c r="G45" i="7" s="1"/>
  <c r="E46" i="7"/>
  <c r="G46" i="7" s="1"/>
  <c r="E47" i="7"/>
  <c r="G47" i="7" s="1"/>
  <c r="E48" i="7"/>
  <c r="G48" i="7" s="1"/>
  <c r="E49" i="7"/>
  <c r="G49" i="7" s="1"/>
  <c r="E50" i="7"/>
  <c r="G50" i="7" s="1"/>
  <c r="E51" i="7"/>
  <c r="G51" i="7" s="1"/>
  <c r="E52" i="7"/>
  <c r="G52" i="7" s="1"/>
  <c r="E53" i="7"/>
  <c r="G53" i="7" s="1"/>
  <c r="E54" i="7"/>
  <c r="G54" i="7" s="1"/>
  <c r="E55" i="7"/>
  <c r="G55" i="7" s="1"/>
  <c r="E56" i="7"/>
  <c r="G56" i="7" s="1"/>
  <c r="E43" i="7"/>
  <c r="G43" i="7" s="1"/>
  <c r="E42" i="7"/>
  <c r="G42" i="7" s="1"/>
  <c r="E41" i="7"/>
  <c r="G41" i="7" s="1"/>
  <c r="E40" i="7"/>
  <c r="G40" i="7" s="1"/>
  <c r="E39" i="7"/>
  <c r="G39" i="7" s="1"/>
  <c r="E38" i="7"/>
  <c r="G38" i="7" s="1"/>
  <c r="E37" i="7"/>
  <c r="G37" i="7" s="1"/>
  <c r="E36" i="7"/>
  <c r="G36" i="7" s="1"/>
  <c r="E35" i="7"/>
  <c r="G35" i="7" s="1"/>
  <c r="E34" i="7"/>
  <c r="G34" i="7" s="1"/>
  <c r="G33" i="7"/>
  <c r="E33" i="7"/>
  <c r="G32" i="7"/>
  <c r="E32" i="7"/>
  <c r="E31" i="7"/>
  <c r="G31" i="7" s="1"/>
  <c r="E30" i="7"/>
  <c r="G30" i="7" s="1"/>
  <c r="E29" i="7"/>
  <c r="G29" i="7" s="1"/>
  <c r="E28" i="7"/>
  <c r="G28" i="7" s="1"/>
  <c r="E27" i="7"/>
  <c r="G27" i="7" s="1"/>
  <c r="E26" i="7"/>
  <c r="G26" i="7" s="1"/>
  <c r="G25" i="7"/>
  <c r="C22" i="7"/>
  <c r="E4" i="7"/>
  <c r="G4" i="7" s="1"/>
  <c r="E5" i="7"/>
  <c r="G5" i="7" s="1"/>
  <c r="E6" i="7"/>
  <c r="G6" i="7" s="1"/>
  <c r="E7" i="7"/>
  <c r="G7" i="7" s="1"/>
  <c r="E8" i="7"/>
  <c r="G8" i="7" s="1"/>
  <c r="E9" i="7"/>
  <c r="G9" i="7" s="1"/>
  <c r="E10" i="7"/>
  <c r="G10" i="7" s="1"/>
  <c r="E11" i="7"/>
  <c r="G11" i="7" s="1"/>
  <c r="E12" i="7"/>
  <c r="G12" i="7" s="1"/>
  <c r="E13" i="7"/>
  <c r="G13" i="7" s="1"/>
  <c r="E14" i="7"/>
  <c r="G14" i="7" s="1"/>
  <c r="E15" i="7"/>
  <c r="G15" i="7" s="1"/>
  <c r="E16" i="7"/>
  <c r="G16" i="7" s="1"/>
  <c r="E17" i="7"/>
  <c r="G17" i="7" s="1"/>
  <c r="E18" i="7"/>
  <c r="G18" i="7" s="1"/>
  <c r="E19" i="7"/>
  <c r="G19" i="7" s="1"/>
  <c r="E20" i="7"/>
  <c r="G20" i="7" s="1"/>
  <c r="E21" i="7"/>
  <c r="G21" i="7" s="1"/>
  <c r="E22" i="7"/>
  <c r="G22" i="7" s="1"/>
  <c r="E3" i="7"/>
  <c r="G3" i="7" s="1"/>
  <c r="G2" i="7"/>
  <c r="G10" i="1"/>
  <c r="G11" i="1"/>
  <c r="G12" i="1"/>
  <c r="G13" i="1"/>
  <c r="G14" i="1"/>
  <c r="G15" i="1"/>
  <c r="G2" i="1"/>
  <c r="G3" i="1"/>
  <c r="G4" i="1"/>
  <c r="G5" i="1"/>
  <c r="G6" i="1"/>
  <c r="G7" i="1"/>
  <c r="C35" i="2"/>
  <c r="C22" i="2"/>
  <c r="E26" i="2"/>
  <c r="G26" i="2" s="1"/>
  <c r="E27" i="2"/>
  <c r="G27" i="2" s="1"/>
  <c r="G25" i="2"/>
  <c r="E4" i="2"/>
  <c r="G4" i="2" s="1"/>
  <c r="E5" i="2"/>
  <c r="G5" i="2" s="1"/>
  <c r="E6" i="2"/>
  <c r="G6" i="2" s="1"/>
  <c r="E7" i="2"/>
  <c r="G7" i="2" s="1"/>
  <c r="E8" i="2"/>
  <c r="G8" i="2" s="1"/>
  <c r="E9" i="2"/>
  <c r="G9" i="2" s="1"/>
  <c r="E10" i="2"/>
  <c r="G10" i="2" s="1"/>
  <c r="E11" i="2"/>
  <c r="G11" i="2" s="1"/>
  <c r="E12" i="2"/>
  <c r="G12" i="2" s="1"/>
  <c r="E13" i="2"/>
  <c r="G13" i="2" s="1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G20" i="2" s="1"/>
  <c r="E21" i="2"/>
  <c r="G21" i="2" s="1"/>
  <c r="E22" i="2"/>
  <c r="G22" i="2" s="1"/>
  <c r="E3" i="2"/>
  <c r="G2" i="2"/>
  <c r="G8" i="1"/>
  <c r="G9" i="1"/>
  <c r="E60" i="11" l="1"/>
  <c r="G60" i="11" s="1"/>
  <c r="C60" i="11"/>
  <c r="B44" i="11"/>
  <c r="G40" i="11"/>
  <c r="C40" i="11"/>
  <c r="E24" i="11"/>
  <c r="G24" i="11" s="1"/>
  <c r="C24" i="11"/>
  <c r="E14" i="11"/>
  <c r="G14" i="11" s="1"/>
  <c r="C14" i="11"/>
  <c r="C6" i="11"/>
  <c r="E7" i="11" s="1"/>
  <c r="G6" i="11"/>
  <c r="E38" i="9"/>
  <c r="G38" i="9" s="1"/>
  <c r="C38" i="9"/>
  <c r="E28" i="9"/>
  <c r="G28" i="9" s="1"/>
  <c r="C28" i="9"/>
  <c r="C9" i="9"/>
  <c r="E5" i="9"/>
  <c r="G5" i="9" s="1"/>
  <c r="E160" i="8"/>
  <c r="G160" i="8" s="1"/>
  <c r="C171" i="8"/>
  <c r="E159" i="8"/>
  <c r="G159" i="8" s="1"/>
  <c r="C91" i="8"/>
  <c r="E48" i="8"/>
  <c r="G48" i="8" s="1"/>
  <c r="C67" i="8"/>
  <c r="E116" i="8"/>
  <c r="G116" i="8" s="1"/>
  <c r="E78" i="8"/>
  <c r="G78" i="8" s="1"/>
  <c r="E47" i="8"/>
  <c r="G47" i="8" s="1"/>
  <c r="E115" i="8"/>
  <c r="G115" i="8" s="1"/>
  <c r="C128" i="8"/>
  <c r="E26" i="8"/>
  <c r="G26" i="8" s="1"/>
  <c r="E25" i="8"/>
  <c r="G25" i="8" s="1"/>
  <c r="C32" i="8"/>
  <c r="C11" i="8"/>
  <c r="E222" i="7"/>
  <c r="G222" i="7" s="1"/>
  <c r="E216" i="7"/>
  <c r="G216" i="7" s="1"/>
  <c r="E185" i="7"/>
  <c r="G185" i="7" s="1"/>
  <c r="E184" i="7"/>
  <c r="G184" i="7" s="1"/>
  <c r="C195" i="7"/>
  <c r="E148" i="7"/>
  <c r="G148" i="7" s="1"/>
  <c r="E147" i="7"/>
  <c r="G147" i="7" s="1"/>
  <c r="E146" i="7"/>
  <c r="G146" i="7" s="1"/>
  <c r="E138" i="7"/>
  <c r="G138" i="7" s="1"/>
  <c r="C138" i="7"/>
  <c r="C139" i="7" s="1"/>
  <c r="C140" i="7" s="1"/>
  <c r="C141" i="7" s="1"/>
  <c r="E135" i="7"/>
  <c r="G135" i="7" s="1"/>
  <c r="E139" i="7"/>
  <c r="G139" i="7" s="1"/>
  <c r="E141" i="7"/>
  <c r="G141" i="7" s="1"/>
  <c r="E140" i="7"/>
  <c r="G140" i="7" s="1"/>
  <c r="E137" i="7"/>
  <c r="G137" i="7" s="1"/>
  <c r="E136" i="7"/>
  <c r="G136" i="7" s="1"/>
  <c r="E129" i="7"/>
  <c r="G129" i="7" s="1"/>
  <c r="E127" i="7"/>
  <c r="G127" i="7" s="1"/>
  <c r="E128" i="7"/>
  <c r="G128" i="7" s="1"/>
  <c r="E120" i="7"/>
  <c r="G120" i="7" s="1"/>
  <c r="E115" i="7"/>
  <c r="G115" i="7" s="1"/>
  <c r="E114" i="7"/>
  <c r="G114" i="7" s="1"/>
  <c r="E104" i="7"/>
  <c r="G104" i="7" s="1"/>
  <c r="E95" i="7"/>
  <c r="G95" i="7" s="1"/>
  <c r="E94" i="7"/>
  <c r="G94" i="7" s="1"/>
  <c r="E93" i="7"/>
  <c r="G93" i="7" s="1"/>
  <c r="E92" i="7"/>
  <c r="G92" i="7" s="1"/>
  <c r="E84" i="7"/>
  <c r="G84" i="7" s="1"/>
  <c r="E82" i="7"/>
  <c r="G82" i="7" s="1"/>
  <c r="E83" i="7"/>
  <c r="G83" i="7" s="1"/>
  <c r="C71" i="7"/>
  <c r="C72" i="7" s="1"/>
  <c r="C73" i="7" s="1"/>
  <c r="C74" i="7" s="1"/>
  <c r="C75" i="7" s="1"/>
  <c r="C76" i="7" s="1"/>
  <c r="E71" i="7"/>
  <c r="G71" i="7" s="1"/>
  <c r="E72" i="7"/>
  <c r="G72" i="7" s="1"/>
  <c r="E73" i="7"/>
  <c r="G73" i="7" s="1"/>
  <c r="E64" i="7"/>
  <c r="G64" i="7" s="1"/>
  <c r="E63" i="7"/>
  <c r="G63" i="7" s="1"/>
  <c r="E62" i="7"/>
  <c r="G62" i="7" s="1"/>
  <c r="G3" i="2"/>
  <c r="E25" i="11" l="1"/>
  <c r="G25" i="11" s="1"/>
  <c r="C25" i="11"/>
  <c r="C41" i="11"/>
  <c r="G41" i="11"/>
  <c r="C61" i="11"/>
  <c r="E61" i="11"/>
  <c r="G61" i="11" s="1"/>
  <c r="B45" i="11"/>
  <c r="E15" i="11"/>
  <c r="G15" i="11" s="1"/>
  <c r="C15" i="11"/>
  <c r="G7" i="11"/>
  <c r="C7" i="11"/>
  <c r="E8" i="11" s="1"/>
  <c r="E39" i="9"/>
  <c r="G39" i="9" s="1"/>
  <c r="C39" i="9"/>
  <c r="E29" i="9"/>
  <c r="G29" i="9" s="1"/>
  <c r="C29" i="9"/>
  <c r="C172" i="8"/>
  <c r="E161" i="8"/>
  <c r="G161" i="8" s="1"/>
  <c r="C68" i="8"/>
  <c r="E79" i="8"/>
  <c r="G79" i="8" s="1"/>
  <c r="E117" i="8"/>
  <c r="G117" i="8" s="1"/>
  <c r="C129" i="8"/>
  <c r="C92" i="8"/>
  <c r="E49" i="8"/>
  <c r="G49" i="8" s="1"/>
  <c r="C33" i="8"/>
  <c r="C12" i="8"/>
  <c r="E5" i="8"/>
  <c r="G5" i="8" s="1"/>
  <c r="E217" i="7"/>
  <c r="G217" i="7" s="1"/>
  <c r="E130" i="7"/>
  <c r="G130" i="7" s="1"/>
  <c r="E122" i="7"/>
  <c r="G122" i="7" s="1"/>
  <c r="E121" i="7"/>
  <c r="G121" i="7" s="1"/>
  <c r="E117" i="7"/>
  <c r="G117" i="7" s="1"/>
  <c r="E116" i="7"/>
  <c r="G116" i="7" s="1"/>
  <c r="E106" i="7"/>
  <c r="G106" i="7" s="1"/>
  <c r="E105" i="7"/>
  <c r="G105" i="7" s="1"/>
  <c r="E96" i="7"/>
  <c r="G96" i="7" s="1"/>
  <c r="E75" i="7"/>
  <c r="G75" i="7" s="1"/>
  <c r="E74" i="7"/>
  <c r="G74" i="7" s="1"/>
  <c r="E65" i="7"/>
  <c r="G65" i="7" s="1"/>
  <c r="E29" i="2"/>
  <c r="G29" i="2" s="1"/>
  <c r="E28" i="2"/>
  <c r="G28" i="2" s="1"/>
  <c r="C62" i="11" l="1"/>
  <c r="E62" i="11"/>
  <c r="G62" i="11" s="1"/>
  <c r="C42" i="11"/>
  <c r="G42" i="11"/>
  <c r="C26" i="11"/>
  <c r="E26" i="11"/>
  <c r="G26" i="11" s="1"/>
  <c r="B46" i="11"/>
  <c r="E16" i="11"/>
  <c r="G16" i="11" s="1"/>
  <c r="C16" i="11"/>
  <c r="G8" i="11"/>
  <c r="C8" i="11"/>
  <c r="E163" i="8"/>
  <c r="G163" i="8" s="1"/>
  <c r="E162" i="8"/>
  <c r="G162" i="8" s="1"/>
  <c r="C173" i="8"/>
  <c r="C69" i="8"/>
  <c r="C93" i="8"/>
  <c r="E118" i="8"/>
  <c r="G118" i="8" s="1"/>
  <c r="E50" i="8"/>
  <c r="G50" i="8" s="1"/>
  <c r="C130" i="8"/>
  <c r="E80" i="8"/>
  <c r="G80" i="8" s="1"/>
  <c r="E27" i="8"/>
  <c r="G27" i="8" s="1"/>
  <c r="C34" i="8"/>
  <c r="C13" i="8"/>
  <c r="E7" i="8"/>
  <c r="G7" i="8" s="1"/>
  <c r="E6" i="8"/>
  <c r="G6" i="8" s="1"/>
  <c r="E219" i="7"/>
  <c r="G219" i="7" s="1"/>
  <c r="E218" i="7"/>
  <c r="G218" i="7" s="1"/>
  <c r="E187" i="7"/>
  <c r="G187" i="7" s="1"/>
  <c r="E186" i="7"/>
  <c r="G186" i="7" s="1"/>
  <c r="E149" i="7"/>
  <c r="G149" i="7" s="1"/>
  <c r="E131" i="7"/>
  <c r="G131" i="7" s="1"/>
  <c r="E123" i="7"/>
  <c r="G123" i="7" s="1"/>
  <c r="E107" i="7"/>
  <c r="G107" i="7" s="1"/>
  <c r="E97" i="7"/>
  <c r="G97" i="7" s="1"/>
  <c r="E86" i="7"/>
  <c r="G86" i="7" s="1"/>
  <c r="E85" i="7"/>
  <c r="G85" i="7" s="1"/>
  <c r="E76" i="7"/>
  <c r="G76" i="7" s="1"/>
  <c r="E66" i="7"/>
  <c r="G66" i="7" s="1"/>
  <c r="E30" i="2"/>
  <c r="G30" i="2" s="1"/>
  <c r="C27" i="11" l="1"/>
  <c r="E27" i="11"/>
  <c r="G27" i="11" s="1"/>
  <c r="C43" i="11"/>
  <c r="G43" i="11"/>
  <c r="C63" i="11"/>
  <c r="E63" i="11"/>
  <c r="G63" i="11" s="1"/>
  <c r="B47" i="11"/>
  <c r="E17" i="11"/>
  <c r="G17" i="11" s="1"/>
  <c r="C17" i="11"/>
  <c r="C174" i="8"/>
  <c r="E164" i="8"/>
  <c r="G164" i="8" s="1"/>
  <c r="C131" i="8"/>
  <c r="E119" i="8"/>
  <c r="G119" i="8" s="1"/>
  <c r="C94" i="8"/>
  <c r="C70" i="8"/>
  <c r="E51" i="8"/>
  <c r="G51" i="8" s="1"/>
  <c r="E81" i="8"/>
  <c r="G81" i="8" s="1"/>
  <c r="E29" i="8"/>
  <c r="G29" i="8" s="1"/>
  <c r="C35" i="8"/>
  <c r="E28" i="8"/>
  <c r="G28" i="8" s="1"/>
  <c r="C14" i="8"/>
  <c r="E220" i="7"/>
  <c r="G220" i="7" s="1"/>
  <c r="E188" i="7"/>
  <c r="G188" i="7" s="1"/>
  <c r="E150" i="7"/>
  <c r="G150" i="7" s="1"/>
  <c r="E132" i="7"/>
  <c r="G132" i="7" s="1"/>
  <c r="E124" i="7"/>
  <c r="G124" i="7" s="1"/>
  <c r="E108" i="7"/>
  <c r="G108" i="7" s="1"/>
  <c r="E98" i="7"/>
  <c r="G98" i="7" s="1"/>
  <c r="E87" i="7"/>
  <c r="G87" i="7" s="1"/>
  <c r="E67" i="7"/>
  <c r="G67" i="7" s="1"/>
  <c r="E31" i="2"/>
  <c r="G31" i="2" s="1"/>
  <c r="C64" i="11" l="1"/>
  <c r="E64" i="11"/>
  <c r="G64" i="11" s="1"/>
  <c r="C44" i="11"/>
  <c r="G44" i="11"/>
  <c r="C28" i="11"/>
  <c r="E28" i="11"/>
  <c r="G28" i="11" s="1"/>
  <c r="B48" i="11"/>
  <c r="C18" i="11"/>
  <c r="E18" i="11"/>
  <c r="G18" i="11" s="1"/>
  <c r="C175" i="8"/>
  <c r="C95" i="8"/>
  <c r="E82" i="8"/>
  <c r="G82" i="8" s="1"/>
  <c r="C132" i="8"/>
  <c r="C71" i="8"/>
  <c r="E52" i="8"/>
  <c r="G52" i="8" s="1"/>
  <c r="E120" i="8"/>
  <c r="G120" i="8" s="1"/>
  <c r="C36" i="8"/>
  <c r="C15" i="8"/>
  <c r="E8" i="8"/>
  <c r="G8" i="8" s="1"/>
  <c r="E221" i="7"/>
  <c r="G221" i="7" s="1"/>
  <c r="E151" i="7"/>
  <c r="G151" i="7" s="1"/>
  <c r="E125" i="7"/>
  <c r="G125" i="7" s="1"/>
  <c r="E109" i="7"/>
  <c r="G109" i="7" s="1"/>
  <c r="E68" i="7"/>
  <c r="G68" i="7" s="1"/>
  <c r="E32" i="2"/>
  <c r="G32" i="2" s="1"/>
  <c r="C29" i="11" l="1"/>
  <c r="E29" i="11"/>
  <c r="G29" i="11" s="1"/>
  <c r="C45" i="11"/>
  <c r="G45" i="11"/>
  <c r="C65" i="11"/>
  <c r="E65" i="11"/>
  <c r="G65" i="11" s="1"/>
  <c r="B49" i="11"/>
  <c r="C176" i="8"/>
  <c r="E165" i="8"/>
  <c r="G165" i="8" s="1"/>
  <c r="C133" i="8"/>
  <c r="C72" i="8"/>
  <c r="E84" i="8"/>
  <c r="G84" i="8" s="1"/>
  <c r="E53" i="8"/>
  <c r="G53" i="8" s="1"/>
  <c r="E122" i="8"/>
  <c r="G122" i="8" s="1"/>
  <c r="E83" i="8"/>
  <c r="G83" i="8" s="1"/>
  <c r="E121" i="8"/>
  <c r="G121" i="8" s="1"/>
  <c r="C96" i="8"/>
  <c r="E31" i="8"/>
  <c r="G31" i="8" s="1"/>
  <c r="E30" i="8"/>
  <c r="G30" i="8" s="1"/>
  <c r="C37" i="8"/>
  <c r="C16" i="8"/>
  <c r="E10" i="8"/>
  <c r="G10" i="8" s="1"/>
  <c r="E9" i="8"/>
  <c r="G9" i="8" s="1"/>
  <c r="E189" i="7"/>
  <c r="G189" i="7" s="1"/>
  <c r="E152" i="7"/>
  <c r="G152" i="7" s="1"/>
  <c r="E134" i="7"/>
  <c r="G134" i="7" s="1"/>
  <c r="E133" i="7"/>
  <c r="G133" i="7" s="1"/>
  <c r="E126" i="7"/>
  <c r="G126" i="7" s="1"/>
  <c r="E99" i="7"/>
  <c r="G99" i="7" s="1"/>
  <c r="E69" i="7"/>
  <c r="G69" i="7" s="1"/>
  <c r="E33" i="2"/>
  <c r="G33" i="2" s="1"/>
  <c r="C66" i="11" l="1"/>
  <c r="E66" i="11"/>
  <c r="G66" i="11" s="1"/>
  <c r="C46" i="11"/>
  <c r="G46" i="11"/>
  <c r="C30" i="11"/>
  <c r="E30" i="11"/>
  <c r="G30" i="11" s="1"/>
  <c r="B50" i="11"/>
  <c r="E166" i="8"/>
  <c r="G166" i="8" s="1"/>
  <c r="C177" i="8"/>
  <c r="C97" i="8"/>
  <c r="C73" i="8"/>
  <c r="C134" i="8"/>
  <c r="E123" i="8"/>
  <c r="G123" i="8" s="1"/>
  <c r="C38" i="8"/>
  <c r="E32" i="8"/>
  <c r="G32" i="8" s="1"/>
  <c r="E11" i="8"/>
  <c r="G11" i="8" s="1"/>
  <c r="C17" i="8"/>
  <c r="E190" i="7"/>
  <c r="G190" i="7" s="1"/>
  <c r="E153" i="7"/>
  <c r="G153" i="7" s="1"/>
  <c r="E101" i="7"/>
  <c r="G101" i="7" s="1"/>
  <c r="E100" i="7"/>
  <c r="G100" i="7" s="1"/>
  <c r="E70" i="7"/>
  <c r="G70" i="7" s="1"/>
  <c r="E34" i="2"/>
  <c r="G34" i="2" s="1"/>
  <c r="C31" i="11" l="1"/>
  <c r="E31" i="11"/>
  <c r="G31" i="11" s="1"/>
  <c r="C47" i="11"/>
  <c r="G47" i="11"/>
  <c r="C67" i="11"/>
  <c r="E67" i="11"/>
  <c r="G67" i="11" s="1"/>
  <c r="B51" i="11"/>
  <c r="C178" i="8"/>
  <c r="E168" i="8"/>
  <c r="G168" i="8" s="1"/>
  <c r="E167" i="8"/>
  <c r="G167" i="8" s="1"/>
  <c r="E55" i="8"/>
  <c r="G55" i="8" s="1"/>
  <c r="E86" i="8"/>
  <c r="G86" i="8" s="1"/>
  <c r="E85" i="8"/>
  <c r="G85" i="8" s="1"/>
  <c r="E54" i="8"/>
  <c r="G54" i="8" s="1"/>
  <c r="C135" i="8"/>
  <c r="C98" i="8"/>
  <c r="C39" i="8"/>
  <c r="E33" i="8"/>
  <c r="G33" i="8" s="1"/>
  <c r="C18" i="8"/>
  <c r="E12" i="8"/>
  <c r="G12" i="8" s="1"/>
  <c r="E191" i="7"/>
  <c r="G191" i="7" s="1"/>
  <c r="E155" i="7"/>
  <c r="G155" i="7" s="1"/>
  <c r="E154" i="7"/>
  <c r="G154" i="7" s="1"/>
  <c r="E102" i="7"/>
  <c r="G102" i="7" s="1"/>
  <c r="E35" i="2"/>
  <c r="G35" i="2" s="1"/>
  <c r="C48" i="11" l="1"/>
  <c r="G48" i="11"/>
  <c r="C68" i="11"/>
  <c r="E68" i="11"/>
  <c r="G68" i="11" s="1"/>
  <c r="C32" i="11"/>
  <c r="E32" i="11"/>
  <c r="G32" i="11" s="1"/>
  <c r="B52" i="11"/>
  <c r="C179" i="8"/>
  <c r="E124" i="8"/>
  <c r="G124" i="8" s="1"/>
  <c r="C99" i="8"/>
  <c r="E87" i="8"/>
  <c r="G87" i="8" s="1"/>
  <c r="C136" i="8"/>
  <c r="E34" i="8"/>
  <c r="G34" i="8" s="1"/>
  <c r="C40" i="8"/>
  <c r="E13" i="8"/>
  <c r="G13" i="8" s="1"/>
  <c r="C19" i="8"/>
  <c r="E192" i="7"/>
  <c r="G192" i="7" s="1"/>
  <c r="E174" i="7"/>
  <c r="G174" i="7" s="1"/>
  <c r="E156" i="7"/>
  <c r="G156" i="7" s="1"/>
  <c r="E103" i="7"/>
  <c r="G103" i="7" s="1"/>
  <c r="C69" i="11" l="1"/>
  <c r="E69" i="11"/>
  <c r="G69" i="11" s="1"/>
  <c r="C33" i="11"/>
  <c r="E33" i="11"/>
  <c r="G33" i="11" s="1"/>
  <c r="C49" i="11"/>
  <c r="G49" i="11"/>
  <c r="B53" i="11"/>
  <c r="C180" i="8"/>
  <c r="E169" i="8"/>
  <c r="G169" i="8" s="1"/>
  <c r="C100" i="8"/>
  <c r="E88" i="8"/>
  <c r="G88" i="8" s="1"/>
  <c r="E56" i="8"/>
  <c r="G56" i="8" s="1"/>
  <c r="C137" i="8"/>
  <c r="E125" i="8"/>
  <c r="G125" i="8" s="1"/>
  <c r="C41" i="8"/>
  <c r="E35" i="8"/>
  <c r="G35" i="8" s="1"/>
  <c r="E14" i="8"/>
  <c r="G14" i="8" s="1"/>
  <c r="E193" i="7"/>
  <c r="G193" i="7" s="1"/>
  <c r="E175" i="7"/>
  <c r="G175" i="7" s="1"/>
  <c r="C50" i="11" l="1"/>
  <c r="G50" i="11"/>
  <c r="C70" i="11"/>
  <c r="E70" i="11"/>
  <c r="G70" i="11" s="1"/>
  <c r="E171" i="8"/>
  <c r="G171" i="8" s="1"/>
  <c r="E170" i="8"/>
  <c r="G170" i="8" s="1"/>
  <c r="C181" i="8"/>
  <c r="E127" i="8"/>
  <c r="G127" i="8" s="1"/>
  <c r="E126" i="8"/>
  <c r="G126" i="8" s="1"/>
  <c r="C138" i="8"/>
  <c r="C101" i="8"/>
  <c r="E58" i="8"/>
  <c r="G58" i="8" s="1"/>
  <c r="E89" i="8"/>
  <c r="G89" i="8" s="1"/>
  <c r="E57" i="8"/>
  <c r="G57" i="8" s="1"/>
  <c r="E36" i="8"/>
  <c r="G36" i="8" s="1"/>
  <c r="E15" i="8"/>
  <c r="G15" i="8" s="1"/>
  <c r="E195" i="7"/>
  <c r="G195" i="7" s="1"/>
  <c r="E194" i="7"/>
  <c r="G194" i="7" s="1"/>
  <c r="E176" i="7"/>
  <c r="G176" i="7" s="1"/>
  <c r="E157" i="7"/>
  <c r="G157" i="7" s="1"/>
  <c r="C71" i="11" l="1"/>
  <c r="E71" i="11"/>
  <c r="G71" i="11" s="1"/>
  <c r="C51" i="11"/>
  <c r="G51" i="11"/>
  <c r="C182" i="8"/>
  <c r="C102" i="8"/>
  <c r="C139" i="8"/>
  <c r="E128" i="8"/>
  <c r="G128" i="8" s="1"/>
  <c r="E16" i="8"/>
  <c r="G16" i="8" s="1"/>
  <c r="E196" i="7"/>
  <c r="G196" i="7" s="1"/>
  <c r="E177" i="7"/>
  <c r="G177" i="7" s="1"/>
  <c r="E158" i="7"/>
  <c r="G158" i="7" s="1"/>
  <c r="C52" i="11" l="1"/>
  <c r="G52" i="11"/>
  <c r="C72" i="11"/>
  <c r="E72" i="11"/>
  <c r="G72" i="11" s="1"/>
  <c r="E173" i="8"/>
  <c r="G173" i="8" s="1"/>
  <c r="E172" i="8"/>
  <c r="G172" i="8" s="1"/>
  <c r="C183" i="8"/>
  <c r="E91" i="8"/>
  <c r="G91" i="8" s="1"/>
  <c r="E60" i="8"/>
  <c r="G60" i="8" s="1"/>
  <c r="E90" i="8"/>
  <c r="G90" i="8" s="1"/>
  <c r="C140" i="8"/>
  <c r="E59" i="8"/>
  <c r="G59" i="8" s="1"/>
  <c r="E129" i="8"/>
  <c r="G129" i="8" s="1"/>
  <c r="C103" i="8"/>
  <c r="E37" i="8"/>
  <c r="G37" i="8" s="1"/>
  <c r="E17" i="8"/>
  <c r="G17" i="8" s="1"/>
  <c r="E197" i="7"/>
  <c r="G197" i="7" s="1"/>
  <c r="E178" i="7"/>
  <c r="G178" i="7" s="1"/>
  <c r="E159" i="7"/>
  <c r="G159" i="7" s="1"/>
  <c r="C53" i="11" l="1"/>
  <c r="G53" i="11"/>
  <c r="C184" i="8"/>
  <c r="E174" i="8"/>
  <c r="G174" i="8" s="1"/>
  <c r="C141" i="8"/>
  <c r="C104" i="8"/>
  <c r="E92" i="8"/>
  <c r="G92" i="8" s="1"/>
  <c r="E38" i="8"/>
  <c r="G38" i="8" s="1"/>
  <c r="E18" i="8"/>
  <c r="G18" i="8" s="1"/>
  <c r="E198" i="7"/>
  <c r="G198" i="7" s="1"/>
  <c r="E160" i="7"/>
  <c r="G160" i="7" s="1"/>
  <c r="E175" i="8" l="1"/>
  <c r="G175" i="8" s="1"/>
  <c r="C185" i="8"/>
  <c r="E131" i="8"/>
  <c r="G131" i="8" s="1"/>
  <c r="E130" i="8"/>
  <c r="G130" i="8" s="1"/>
  <c r="C105" i="8"/>
  <c r="E61" i="8"/>
  <c r="G61" i="8" s="1"/>
  <c r="C142" i="8"/>
  <c r="E39" i="8"/>
  <c r="G39" i="8" s="1"/>
  <c r="E19" i="8"/>
  <c r="G19" i="8" s="1"/>
  <c r="E199" i="7"/>
  <c r="G199" i="7" s="1"/>
  <c r="E161" i="7"/>
  <c r="G161" i="7" s="1"/>
  <c r="C186" i="8" l="1"/>
  <c r="E94" i="8"/>
  <c r="G94" i="8" s="1"/>
  <c r="E63" i="8"/>
  <c r="G63" i="8" s="1"/>
  <c r="E62" i="8"/>
  <c r="G62" i="8" s="1"/>
  <c r="C106" i="8"/>
  <c r="E93" i="8"/>
  <c r="G93" i="8" s="1"/>
  <c r="C143" i="8"/>
  <c r="E41" i="8"/>
  <c r="G41" i="8" s="1"/>
  <c r="E40" i="8"/>
  <c r="G40" i="8" s="1"/>
  <c r="E163" i="7"/>
  <c r="G163" i="7" s="1"/>
  <c r="E162" i="7"/>
  <c r="G162" i="7" s="1"/>
  <c r="E177" i="8" l="1"/>
  <c r="G177" i="8" s="1"/>
  <c r="E176" i="8"/>
  <c r="G176" i="8" s="1"/>
  <c r="C187" i="8"/>
  <c r="C107" i="8"/>
  <c r="E132" i="8"/>
  <c r="G132" i="8" s="1"/>
  <c r="C144" i="8"/>
  <c r="E95" i="8"/>
  <c r="G95" i="8" s="1"/>
  <c r="E201" i="7"/>
  <c r="G201" i="7" s="1"/>
  <c r="E200" i="7"/>
  <c r="G200" i="7" s="1"/>
  <c r="C188" i="8" l="1"/>
  <c r="E64" i="8"/>
  <c r="G64" i="8" s="1"/>
  <c r="E134" i="8"/>
  <c r="G134" i="8" s="1"/>
  <c r="E133" i="8"/>
  <c r="G133" i="8" s="1"/>
  <c r="C108" i="8"/>
  <c r="C145" i="8"/>
  <c r="E202" i="7"/>
  <c r="G202" i="7" s="1"/>
  <c r="E165" i="7"/>
  <c r="G165" i="7" s="1"/>
  <c r="E164" i="7"/>
  <c r="G164" i="7" s="1"/>
  <c r="E179" i="8" l="1"/>
  <c r="G179" i="8" s="1"/>
  <c r="E178" i="8"/>
  <c r="G178" i="8" s="1"/>
  <c r="C189" i="8"/>
  <c r="E97" i="8"/>
  <c r="G97" i="8" s="1"/>
  <c r="E96" i="8"/>
  <c r="G96" i="8" s="1"/>
  <c r="C146" i="8"/>
  <c r="C109" i="8"/>
  <c r="E65" i="8"/>
  <c r="G65" i="8" s="1"/>
  <c r="E203" i="7"/>
  <c r="G203" i="7" s="1"/>
  <c r="E166" i="7"/>
  <c r="G166" i="7" s="1"/>
  <c r="C190" i="8" l="1"/>
  <c r="E180" i="8"/>
  <c r="G180" i="8" s="1"/>
  <c r="E67" i="8"/>
  <c r="G67" i="8" s="1"/>
  <c r="E136" i="8"/>
  <c r="G136" i="8" s="1"/>
  <c r="E66" i="8"/>
  <c r="G66" i="8" s="1"/>
  <c r="E135" i="8"/>
  <c r="G135" i="8" s="1"/>
  <c r="C147" i="8"/>
  <c r="E98" i="8"/>
  <c r="G98" i="8" s="1"/>
  <c r="E204" i="7"/>
  <c r="G204" i="7" s="1"/>
  <c r="E167" i="7"/>
  <c r="G167" i="7" s="1"/>
  <c r="E181" i="8" l="1"/>
  <c r="G181" i="8" s="1"/>
  <c r="C191" i="8"/>
  <c r="C148" i="8"/>
  <c r="E137" i="8"/>
  <c r="G137" i="8" s="1"/>
  <c r="E99" i="8"/>
  <c r="G99" i="8" s="1"/>
  <c r="E68" i="8"/>
  <c r="G68" i="8" s="1"/>
  <c r="E168" i="7"/>
  <c r="G168" i="7" s="1"/>
  <c r="C192" i="8" l="1"/>
  <c r="E182" i="8"/>
  <c r="G182" i="8" s="1"/>
  <c r="E69" i="8"/>
  <c r="G69" i="8" s="1"/>
  <c r="E100" i="8"/>
  <c r="G100" i="8" s="1"/>
  <c r="E138" i="8"/>
  <c r="G138" i="8" s="1"/>
  <c r="C149" i="8"/>
  <c r="E206" i="7"/>
  <c r="G206" i="7" s="1"/>
  <c r="E205" i="7"/>
  <c r="G205" i="7" s="1"/>
  <c r="E169" i="7"/>
  <c r="G169" i="7" s="1"/>
  <c r="E183" i="8" l="1"/>
  <c r="G183" i="8" s="1"/>
  <c r="C193" i="8"/>
  <c r="C150" i="8"/>
  <c r="E139" i="8"/>
  <c r="G139" i="8" s="1"/>
  <c r="E101" i="8"/>
  <c r="G101" i="8" s="1"/>
  <c r="E70" i="8"/>
  <c r="G70" i="8" s="1"/>
  <c r="E170" i="7"/>
  <c r="G170" i="7" s="1"/>
  <c r="C194" i="8" l="1"/>
  <c r="E184" i="8"/>
  <c r="G184" i="8" s="1"/>
  <c r="E71" i="8"/>
  <c r="G71" i="8" s="1"/>
  <c r="E102" i="8"/>
  <c r="G102" i="8" s="1"/>
  <c r="C151" i="8"/>
  <c r="E208" i="7"/>
  <c r="G208" i="7" s="1"/>
  <c r="E207" i="7"/>
  <c r="G207" i="7" s="1"/>
  <c r="E171" i="7"/>
  <c r="G171" i="7" s="1"/>
  <c r="E185" i="8" l="1"/>
  <c r="G185" i="8" s="1"/>
  <c r="C195" i="8"/>
  <c r="C152" i="8"/>
  <c r="E141" i="8"/>
  <c r="G141" i="8" s="1"/>
  <c r="E140" i="8"/>
  <c r="G140" i="8" s="1"/>
  <c r="E103" i="8"/>
  <c r="G103" i="8" s="1"/>
  <c r="E172" i="7"/>
  <c r="G172" i="7" s="1"/>
  <c r="C196" i="8" l="1"/>
  <c r="E186" i="8"/>
  <c r="G186" i="8" s="1"/>
  <c r="E73" i="8"/>
  <c r="G73" i="8" s="1"/>
  <c r="E104" i="8"/>
  <c r="G104" i="8" s="1"/>
  <c r="C153" i="8"/>
  <c r="E72" i="8"/>
  <c r="G72" i="8" s="1"/>
  <c r="E210" i="7"/>
  <c r="G210" i="7" s="1"/>
  <c r="E209" i="7"/>
  <c r="G209" i="7" s="1"/>
  <c r="E173" i="7"/>
  <c r="G173" i="7" s="1"/>
  <c r="E187" i="8" l="1"/>
  <c r="G187" i="8" s="1"/>
  <c r="C197" i="8"/>
  <c r="C198" i="8" s="1"/>
  <c r="E143" i="8"/>
  <c r="G143" i="8" s="1"/>
  <c r="E142" i="8"/>
  <c r="G142" i="8" s="1"/>
  <c r="E105" i="8"/>
  <c r="G105" i="8" s="1"/>
  <c r="C199" i="8" l="1"/>
  <c r="E199" i="8"/>
  <c r="G199" i="8" s="1"/>
  <c r="E188" i="8"/>
  <c r="G188" i="8" s="1"/>
  <c r="E144" i="8"/>
  <c r="G144" i="8" s="1"/>
  <c r="E212" i="7"/>
  <c r="G212" i="7" s="1"/>
  <c r="E211" i="7"/>
  <c r="G211" i="7" s="1"/>
  <c r="C200" i="8" l="1"/>
  <c r="E200" i="8"/>
  <c r="G200" i="8" s="1"/>
  <c r="E107" i="8"/>
  <c r="G107" i="8" s="1"/>
  <c r="E106" i="8"/>
  <c r="G106" i="8" s="1"/>
  <c r="E213" i="7"/>
  <c r="G213" i="7" s="1"/>
  <c r="C201" i="8" l="1"/>
  <c r="E201" i="8"/>
  <c r="G201" i="8" s="1"/>
  <c r="E189" i="8"/>
  <c r="G189" i="8" s="1"/>
  <c r="E146" i="8"/>
  <c r="G146" i="8" s="1"/>
  <c r="E145" i="8"/>
  <c r="G145" i="8" s="1"/>
  <c r="E108" i="8"/>
  <c r="G108" i="8" s="1"/>
  <c r="E214" i="7"/>
  <c r="G214" i="7" s="1"/>
  <c r="C202" i="8" l="1"/>
  <c r="E202" i="8"/>
  <c r="G202" i="8" s="1"/>
  <c r="E190" i="8"/>
  <c r="G190" i="8" s="1"/>
  <c r="E109" i="8"/>
  <c r="G109" i="8" s="1"/>
  <c r="E147" i="8"/>
  <c r="G147" i="8" s="1"/>
  <c r="E215" i="7"/>
  <c r="G215" i="7" s="1"/>
  <c r="C203" i="8" l="1"/>
  <c r="E203" i="8"/>
  <c r="G203" i="8" s="1"/>
  <c r="E191" i="8"/>
  <c r="G191" i="8" s="1"/>
  <c r="E148" i="8"/>
  <c r="G148" i="8" s="1"/>
  <c r="E110" i="8"/>
  <c r="G110" i="8" s="1"/>
  <c r="C204" i="8" l="1"/>
  <c r="E204" i="8"/>
  <c r="G204" i="8" s="1"/>
  <c r="E192" i="8"/>
  <c r="G192" i="8" s="1"/>
  <c r="C205" i="8" l="1"/>
  <c r="E205" i="8"/>
  <c r="G205" i="8" s="1"/>
  <c r="E193" i="8"/>
  <c r="G193" i="8" s="1"/>
  <c r="E150" i="8"/>
  <c r="G150" i="8" s="1"/>
  <c r="E149" i="8"/>
  <c r="G149" i="8" s="1"/>
  <c r="C206" i="8" l="1"/>
  <c r="E206" i="8"/>
  <c r="G206" i="8" s="1"/>
  <c r="E194" i="8"/>
  <c r="G194" i="8" s="1"/>
  <c r="E151" i="8"/>
  <c r="G151" i="8" s="1"/>
  <c r="C207" i="8" l="1"/>
  <c r="E207" i="8"/>
  <c r="G207" i="8" s="1"/>
  <c r="E195" i="8"/>
  <c r="G195" i="8" s="1"/>
  <c r="E152" i="8"/>
  <c r="G152" i="8" s="1"/>
  <c r="E208" i="8" l="1"/>
  <c r="G208" i="8" s="1"/>
  <c r="E196" i="8"/>
  <c r="G196" i="8" s="1"/>
  <c r="E198" i="8" l="1"/>
  <c r="G198" i="8" s="1"/>
  <c r="E197" i="8"/>
  <c r="G197" i="8" s="1"/>
  <c r="E154" i="8"/>
  <c r="G154" i="8" s="1"/>
  <c r="E153" i="8"/>
  <c r="G153" i="8" s="1"/>
</calcChain>
</file>

<file path=xl/sharedStrings.xml><?xml version="1.0" encoding="utf-8"?>
<sst xmlns="http://schemas.openxmlformats.org/spreadsheetml/2006/main" count="933" uniqueCount="99">
  <si>
    <t>Ticker</t>
  </si>
  <si>
    <t>Tipo</t>
  </si>
  <si>
    <t>Fecha Emision</t>
  </si>
  <si>
    <t>Fecha Vencimiento</t>
  </si>
  <si>
    <t>TEM (%)</t>
  </si>
  <si>
    <t>Meses (base 30/360)</t>
  </si>
  <si>
    <t>VPV (c/100 VN)</t>
  </si>
  <si>
    <t>S31G6</t>
  </si>
  <si>
    <t>LECAP</t>
  </si>
  <si>
    <t>S30S6</t>
  </si>
  <si>
    <t>Fecha</t>
  </si>
  <si>
    <t>Valor Residual</t>
  </si>
  <si>
    <t>Renta</t>
  </si>
  <si>
    <t>Amortización</t>
  </si>
  <si>
    <t>Cupón</t>
  </si>
  <si>
    <t>Total</t>
  </si>
  <si>
    <t>TO26</t>
  </si>
  <si>
    <t>TY30P</t>
  </si>
  <si>
    <t>Fecha Emisión</t>
  </si>
  <si>
    <t>Fecha Vencimineto</t>
  </si>
  <si>
    <t>CER aplicable</t>
  </si>
  <si>
    <t>Margen</t>
  </si>
  <si>
    <t>TZX26</t>
  </si>
  <si>
    <t>TZX27</t>
  </si>
  <si>
    <t>CER</t>
  </si>
  <si>
    <t>TMF27</t>
  </si>
  <si>
    <t>TMG27</t>
  </si>
  <si>
    <t>TAMAR</t>
  </si>
  <si>
    <t>TAMAR aplicable</t>
  </si>
  <si>
    <t>S29Y6</t>
  </si>
  <si>
    <t>S12J6</t>
  </si>
  <si>
    <t>T30J6</t>
  </si>
  <si>
    <t>S17L6</t>
  </si>
  <si>
    <t>S31L6</t>
  </si>
  <si>
    <t>S14G6</t>
  </si>
  <si>
    <t>S30O6</t>
  </si>
  <si>
    <t>S30N6</t>
  </si>
  <si>
    <t>T15E7</t>
  </si>
  <si>
    <t>T30A7</t>
  </si>
  <si>
    <t>T31Y7</t>
  </si>
  <si>
    <t>T30J7</t>
  </si>
  <si>
    <t>TZXO6</t>
  </si>
  <si>
    <t>TZXD6</t>
  </si>
  <si>
    <t>TZXM7</t>
  </si>
  <si>
    <t>TZXA7</t>
  </si>
  <si>
    <t>TZXS7</t>
  </si>
  <si>
    <t>TZXD7</t>
  </si>
  <si>
    <t>TZXM8</t>
  </si>
  <si>
    <t>TZX28</t>
  </si>
  <si>
    <t>TZXS8</t>
  </si>
  <si>
    <t>TZXM9</t>
  </si>
  <si>
    <t>M31G6</t>
  </si>
  <si>
    <t>TMF28</t>
  </si>
  <si>
    <t>TMG28</t>
  </si>
  <si>
    <t>USD aplicable</t>
  </si>
  <si>
    <t>TZV26</t>
  </si>
  <si>
    <t>Linked</t>
  </si>
  <si>
    <t>D30S6</t>
  </si>
  <si>
    <t>TZV27</t>
  </si>
  <si>
    <t>TZV28</t>
  </si>
  <si>
    <t>AO27</t>
  </si>
  <si>
    <t>AO28</t>
  </si>
  <si>
    <t>AL29</t>
  </si>
  <si>
    <t>AL30</t>
  </si>
  <si>
    <t>AL35</t>
  </si>
  <si>
    <t>AN29</t>
  </si>
  <si>
    <t>AL41</t>
  </si>
  <si>
    <t>AE38</t>
  </si>
  <si>
    <t>GD29</t>
  </si>
  <si>
    <t>GD30</t>
  </si>
  <si>
    <t>GD35</t>
  </si>
  <si>
    <t>GD38</t>
  </si>
  <si>
    <t>GD41</t>
  </si>
  <si>
    <t>GD46</t>
  </si>
  <si>
    <t>TXMJ9</t>
  </si>
  <si>
    <t>TXMJ8</t>
  </si>
  <si>
    <t>TTJ26</t>
  </si>
  <si>
    <t>TTS26</t>
  </si>
  <si>
    <t>BPC7D</t>
  </si>
  <si>
    <t>BPD7D</t>
  </si>
  <si>
    <t>BPA8D</t>
  </si>
  <si>
    <t>BPB8D</t>
  </si>
  <si>
    <t>S15S6</t>
  </si>
  <si>
    <t>D31L6</t>
  </si>
  <si>
    <t>D31M7</t>
  </si>
  <si>
    <t>NBS1D</t>
  </si>
  <si>
    <t>RUCED</t>
  </si>
  <si>
    <t>PQCSD</t>
  </si>
  <si>
    <t>TLCPD</t>
  </si>
  <si>
    <t>GN49D</t>
  </si>
  <si>
    <t>D31G6</t>
  </si>
  <si>
    <t>TZVD8</t>
  </si>
  <si>
    <t>TXMD8</t>
  </si>
  <si>
    <t>TXMD9</t>
  </si>
  <si>
    <t>TXMJ0</t>
  </si>
  <si>
    <t>S13N6</t>
  </si>
  <si>
    <t>TZXO7</t>
  </si>
  <si>
    <t>TZXD8</t>
  </si>
  <si>
    <t>TML27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</si>
</sst>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6961C-260F-4481-8170-F6D7AAFF346E}">
  <dimension ref="A1:G20"/>
  <sheetViews>
    <sheetView tabSelected="1" workbookViewId="0">
      <selection activeCell="H10" sqref="H10"/>
    </sheetView>
  </sheetViews>
  <sheetFormatPr baseColWidth="10" defaultRowHeight="15" x14ac:dyDescent="0.2"/>
  <cols>
    <col min="1" max="7" width="19" customWidth="1"/>
  </cols>
  <sheetData>
    <row r="1" spans="1:7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2">
      <c r="A2" s="1" t="s">
        <v>29</v>
      </c>
      <c r="B2" s="1" t="s">
        <v>8</v>
      </c>
      <c r="C2" s="3">
        <v>45807</v>
      </c>
      <c r="D2" s="3">
        <v>46171</v>
      </c>
      <c r="E2" s="1">
        <v>2.35</v>
      </c>
      <c r="F2" s="7">
        <f>DAYS360(C2,D2)/30</f>
        <v>11.966666666666667</v>
      </c>
      <c r="G2" s="1">
        <f t="shared" ref="G2:G7" si="0">100*(1+E2/100)^F2</f>
        <v>132.04376604087778</v>
      </c>
    </row>
    <row r="3" spans="1:7" x14ac:dyDescent="0.2">
      <c r="A3" s="1" t="s">
        <v>30</v>
      </c>
      <c r="B3" s="1" t="s">
        <v>8</v>
      </c>
      <c r="C3" s="3">
        <v>46142</v>
      </c>
      <c r="D3" s="3">
        <v>46185</v>
      </c>
      <c r="E3" s="1">
        <v>2.1</v>
      </c>
      <c r="F3" s="7">
        <f>DAYS360(C3,D3)/30</f>
        <v>1.4</v>
      </c>
      <c r="G3" s="1">
        <f t="shared" si="0"/>
        <v>102.9522965693394</v>
      </c>
    </row>
    <row r="4" spans="1:7" x14ac:dyDescent="0.2">
      <c r="A4" s="1" t="s">
        <v>31</v>
      </c>
      <c r="B4" s="1" t="s">
        <v>8</v>
      </c>
      <c r="C4" s="3">
        <v>45674</v>
      </c>
      <c r="D4" s="3">
        <v>46203</v>
      </c>
      <c r="E4" s="1">
        <v>2.15</v>
      </c>
      <c r="F4" s="7">
        <f>DAYS360(C4,D4)/30</f>
        <v>17.433333333333334</v>
      </c>
      <c r="G4" s="1">
        <f t="shared" si="0"/>
        <v>144.89573444321886</v>
      </c>
    </row>
    <row r="5" spans="1:7" x14ac:dyDescent="0.2">
      <c r="A5" s="1" t="s">
        <v>32</v>
      </c>
      <c r="B5" s="1" t="s">
        <v>8</v>
      </c>
      <c r="C5" s="3">
        <v>46112</v>
      </c>
      <c r="D5" s="3">
        <v>46220</v>
      </c>
      <c r="E5" s="1">
        <v>2.16</v>
      </c>
      <c r="F5" s="7">
        <f>DAYS360(C5,D5)/30</f>
        <v>3.5666666666666669</v>
      </c>
      <c r="G5" s="1">
        <f t="shared" si="0"/>
        <v>107.91997113654924</v>
      </c>
    </row>
    <row r="6" spans="1:7" x14ac:dyDescent="0.2">
      <c r="A6" s="1" t="s">
        <v>33</v>
      </c>
      <c r="B6" s="1" t="s">
        <v>8</v>
      </c>
      <c r="C6" s="3">
        <v>46052</v>
      </c>
      <c r="D6" s="3">
        <v>46234</v>
      </c>
      <c r="E6" s="1">
        <v>2.75</v>
      </c>
      <c r="F6" s="7">
        <f t="shared" ref="F6:F17" si="1">DAYS360(C6,D6)/30</f>
        <v>6</v>
      </c>
      <c r="G6" s="1">
        <f t="shared" si="0"/>
        <v>117.67683610092683</v>
      </c>
    </row>
    <row r="7" spans="1:7" x14ac:dyDescent="0.2">
      <c r="A7" s="1" t="s">
        <v>34</v>
      </c>
      <c r="B7" s="1" t="s">
        <v>8</v>
      </c>
      <c r="C7" s="3">
        <v>46129</v>
      </c>
      <c r="D7" s="3">
        <v>46248</v>
      </c>
      <c r="E7" s="1">
        <v>2</v>
      </c>
      <c r="F7" s="7">
        <f t="shared" si="1"/>
        <v>3.9</v>
      </c>
      <c r="G7" s="1">
        <f t="shared" si="0"/>
        <v>108.02907808826146</v>
      </c>
    </row>
    <row r="8" spans="1:7" x14ac:dyDescent="0.2">
      <c r="A8" s="1" t="s">
        <v>7</v>
      </c>
      <c r="B8" s="1" t="s">
        <v>8</v>
      </c>
      <c r="C8" s="3">
        <v>45971</v>
      </c>
      <c r="D8" s="3">
        <v>46265</v>
      </c>
      <c r="E8" s="1">
        <v>2.5</v>
      </c>
      <c r="F8" s="7">
        <f t="shared" si="1"/>
        <v>9.6999999999999993</v>
      </c>
      <c r="G8" s="1">
        <f>100*(1+E8/100)^F8</f>
        <v>127.06369905967132</v>
      </c>
    </row>
    <row r="9" spans="1:7" x14ac:dyDescent="0.2">
      <c r="A9" s="1" t="s">
        <v>9</v>
      </c>
      <c r="B9" s="1" t="s">
        <v>8</v>
      </c>
      <c r="C9" s="3">
        <v>46097</v>
      </c>
      <c r="D9" s="3">
        <v>46295</v>
      </c>
      <c r="E9" s="1">
        <v>2.5299999999999998</v>
      </c>
      <c r="F9" s="7">
        <f t="shared" si="1"/>
        <v>6.4666666666666668</v>
      </c>
      <c r="G9" s="1">
        <f>100*(1+E9/100)^F9</f>
        <v>117.53562589582242</v>
      </c>
    </row>
    <row r="10" spans="1:7" x14ac:dyDescent="0.2">
      <c r="A10" s="1" t="s">
        <v>35</v>
      </c>
      <c r="B10" s="1" t="s">
        <v>8</v>
      </c>
      <c r="C10" s="3">
        <v>45961</v>
      </c>
      <c r="D10" s="3">
        <v>46325</v>
      </c>
      <c r="E10" s="1">
        <v>2.5499999999999998</v>
      </c>
      <c r="F10" s="7">
        <f t="shared" si="1"/>
        <v>12</v>
      </c>
      <c r="G10" s="1">
        <f t="shared" ref="G10:G17" si="2">100*(1+E10/100)^F10</f>
        <v>135.27824999695426</v>
      </c>
    </row>
    <row r="11" spans="1:7" x14ac:dyDescent="0.2">
      <c r="A11" s="1" t="s">
        <v>36</v>
      </c>
      <c r="B11" s="1" t="s">
        <v>8</v>
      </c>
      <c r="C11" s="3">
        <v>46006</v>
      </c>
      <c r="D11" s="3">
        <v>46356</v>
      </c>
      <c r="E11" s="1">
        <v>2.2999999999999998</v>
      </c>
      <c r="F11" s="7">
        <f t="shared" si="1"/>
        <v>11.5</v>
      </c>
      <c r="G11" s="1">
        <f t="shared" si="2"/>
        <v>129.88822671719913</v>
      </c>
    </row>
    <row r="12" spans="1:7" x14ac:dyDescent="0.2">
      <c r="A12" s="1" t="s">
        <v>37</v>
      </c>
      <c r="B12" s="1" t="s">
        <v>8</v>
      </c>
      <c r="C12" s="3">
        <v>45688</v>
      </c>
      <c r="D12" s="3">
        <v>46402</v>
      </c>
      <c r="E12" s="1">
        <v>2.0499999999999998</v>
      </c>
      <c r="F12" s="7">
        <f t="shared" si="1"/>
        <v>23.5</v>
      </c>
      <c r="G12" s="1">
        <f t="shared" si="2"/>
        <v>161.10377342466148</v>
      </c>
    </row>
    <row r="13" spans="1:7" x14ac:dyDescent="0.2">
      <c r="A13" s="1" t="s">
        <v>38</v>
      </c>
      <c r="B13" s="1" t="s">
        <v>8</v>
      </c>
      <c r="C13" s="3">
        <v>45961</v>
      </c>
      <c r="D13" s="3">
        <v>46507</v>
      </c>
      <c r="E13" s="1">
        <v>2.5499999999999998</v>
      </c>
      <c r="F13" s="7">
        <f t="shared" si="1"/>
        <v>18</v>
      </c>
      <c r="G13" s="1">
        <f t="shared" si="2"/>
        <v>157.34102123941065</v>
      </c>
    </row>
    <row r="14" spans="1:7" x14ac:dyDescent="0.2">
      <c r="A14" s="1" t="s">
        <v>39</v>
      </c>
      <c r="B14" s="1" t="s">
        <v>8</v>
      </c>
      <c r="C14" s="3">
        <v>46006</v>
      </c>
      <c r="D14" s="3">
        <v>46538</v>
      </c>
      <c r="E14" s="1">
        <v>2.4</v>
      </c>
      <c r="F14" s="7">
        <f t="shared" si="1"/>
        <v>17.533333333333335</v>
      </c>
      <c r="G14" s="1">
        <f t="shared" si="2"/>
        <v>151.56278365654157</v>
      </c>
    </row>
    <row r="15" spans="1:7" x14ac:dyDescent="0.2">
      <c r="A15" s="1" t="s">
        <v>40</v>
      </c>
      <c r="B15" s="1" t="s">
        <v>8</v>
      </c>
      <c r="C15" s="3">
        <v>46038</v>
      </c>
      <c r="D15" s="3">
        <v>46568</v>
      </c>
      <c r="E15" s="1">
        <v>2.58</v>
      </c>
      <c r="F15" s="7">
        <f t="shared" si="1"/>
        <v>17.466666666666665</v>
      </c>
      <c r="G15" s="1">
        <f t="shared" si="2"/>
        <v>156.03729080688436</v>
      </c>
    </row>
    <row r="16" spans="1:7" x14ac:dyDescent="0.2">
      <c r="A16" s="1" t="s">
        <v>82</v>
      </c>
      <c r="B16" s="1" t="s">
        <v>8</v>
      </c>
      <c r="C16" s="3">
        <v>46171</v>
      </c>
      <c r="D16" s="3">
        <v>46280</v>
      </c>
      <c r="E16" s="1">
        <v>1.99</v>
      </c>
      <c r="F16" s="7">
        <f t="shared" si="1"/>
        <v>3.5333333333333332</v>
      </c>
      <c r="G16" s="1">
        <f t="shared" si="2"/>
        <v>107.21037727507621</v>
      </c>
    </row>
    <row r="17" spans="1:7" x14ac:dyDescent="0.2">
      <c r="A17" s="1" t="s">
        <v>95</v>
      </c>
      <c r="B17" s="1" t="s">
        <v>8</v>
      </c>
      <c r="C17" s="3">
        <v>46203</v>
      </c>
      <c r="D17" s="3">
        <v>46339</v>
      </c>
      <c r="E17" s="1">
        <v>2.1</v>
      </c>
      <c r="F17" s="7">
        <f t="shared" si="1"/>
        <v>4.4333333333333336</v>
      </c>
      <c r="G17" s="1">
        <f t="shared" si="2"/>
        <v>109.65138541823494</v>
      </c>
    </row>
    <row r="18" spans="1:7" x14ac:dyDescent="0.2">
      <c r="A18" s="1"/>
      <c r="B18" s="1"/>
      <c r="C18" s="3"/>
      <c r="D18" s="3"/>
      <c r="E18" s="1"/>
      <c r="F18" s="1"/>
      <c r="G18" s="1"/>
    </row>
    <row r="19" spans="1:7" x14ac:dyDescent="0.2">
      <c r="A19" s="1"/>
      <c r="B19" s="1"/>
      <c r="C19" s="3"/>
      <c r="D19" s="3"/>
      <c r="E19" s="1"/>
      <c r="F19" s="1"/>
      <c r="G19" s="1"/>
    </row>
    <row r="20" spans="1:7" x14ac:dyDescent="0.2">
      <c r="A20" s="1"/>
      <c r="B20" s="1"/>
      <c r="C20" s="3"/>
      <c r="D20" s="3"/>
      <c r="E20" s="1"/>
      <c r="F20" s="1"/>
      <c r="G20" s="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D63A-F997-4A86-BBCE-0112B3AF8896}">
  <dimension ref="A1:G35"/>
  <sheetViews>
    <sheetView workbookViewId="0">
      <selection activeCell="D12" sqref="D12"/>
    </sheetView>
  </sheetViews>
  <sheetFormatPr baseColWidth="10" defaultRowHeight="15" x14ac:dyDescent="0.2"/>
  <cols>
    <col min="1" max="7" width="13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16</v>
      </c>
      <c r="B2" s="3">
        <v>42660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16</v>
      </c>
      <c r="B3" s="3">
        <v>42842</v>
      </c>
      <c r="C3" s="1">
        <v>100</v>
      </c>
      <c r="D3" s="4">
        <v>0.155</v>
      </c>
      <c r="E3" s="5">
        <f>((D3*C2)/360)*DAYS360(B2,B3)</f>
        <v>7.75</v>
      </c>
      <c r="F3" s="1">
        <v>0</v>
      </c>
      <c r="G3" s="1">
        <f>F3+E3</f>
        <v>7.75</v>
      </c>
    </row>
    <row r="4" spans="1:7" x14ac:dyDescent="0.2">
      <c r="A4" s="1" t="s">
        <v>16</v>
      </c>
      <c r="B4" s="3">
        <v>43025</v>
      </c>
      <c r="C4" s="1">
        <v>100</v>
      </c>
      <c r="D4" s="4">
        <v>0.155</v>
      </c>
      <c r="E4" s="5">
        <f t="shared" ref="E4:E22" si="0">((D4*C3)/360)*DAYS360(B3,B4)</f>
        <v>7.75</v>
      </c>
      <c r="F4" s="1">
        <v>0</v>
      </c>
      <c r="G4" s="1">
        <f t="shared" ref="G4:G22" si="1">F4+E4</f>
        <v>7.75</v>
      </c>
    </row>
    <row r="5" spans="1:7" x14ac:dyDescent="0.2">
      <c r="A5" s="1" t="s">
        <v>16</v>
      </c>
      <c r="B5" s="3">
        <v>43207</v>
      </c>
      <c r="C5" s="1">
        <v>100</v>
      </c>
      <c r="D5" s="4">
        <v>0.155</v>
      </c>
      <c r="E5" s="5">
        <f t="shared" si="0"/>
        <v>7.75</v>
      </c>
      <c r="F5" s="1">
        <v>0</v>
      </c>
      <c r="G5" s="1">
        <f t="shared" si="1"/>
        <v>7.75</v>
      </c>
    </row>
    <row r="6" spans="1:7" x14ac:dyDescent="0.2">
      <c r="A6" s="1" t="s">
        <v>16</v>
      </c>
      <c r="B6" s="3">
        <v>43390</v>
      </c>
      <c r="C6" s="1">
        <v>100</v>
      </c>
      <c r="D6" s="4">
        <v>0.155</v>
      </c>
      <c r="E6" s="5">
        <f t="shared" si="0"/>
        <v>7.75</v>
      </c>
      <c r="F6" s="1">
        <v>0</v>
      </c>
      <c r="G6" s="1">
        <f t="shared" si="1"/>
        <v>7.75</v>
      </c>
    </row>
    <row r="7" spans="1:7" x14ac:dyDescent="0.2">
      <c r="A7" s="1" t="s">
        <v>16</v>
      </c>
      <c r="B7" s="3">
        <v>43572</v>
      </c>
      <c r="C7" s="1">
        <v>100</v>
      </c>
      <c r="D7" s="4">
        <v>0.155</v>
      </c>
      <c r="E7" s="5">
        <f t="shared" si="0"/>
        <v>7.75</v>
      </c>
      <c r="F7" s="1">
        <v>0</v>
      </c>
      <c r="G7" s="1">
        <f t="shared" si="1"/>
        <v>7.75</v>
      </c>
    </row>
    <row r="8" spans="1:7" x14ac:dyDescent="0.2">
      <c r="A8" s="1" t="s">
        <v>16</v>
      </c>
      <c r="B8" s="3">
        <v>43755</v>
      </c>
      <c r="C8" s="1">
        <v>100</v>
      </c>
      <c r="D8" s="4">
        <v>0.155</v>
      </c>
      <c r="E8" s="5">
        <f t="shared" si="0"/>
        <v>7.75</v>
      </c>
      <c r="F8" s="1">
        <v>0</v>
      </c>
      <c r="G8" s="1">
        <f t="shared" si="1"/>
        <v>7.75</v>
      </c>
    </row>
    <row r="9" spans="1:7" x14ac:dyDescent="0.2">
      <c r="A9" s="1" t="s">
        <v>16</v>
      </c>
      <c r="B9" s="3">
        <v>43938</v>
      </c>
      <c r="C9" s="1">
        <v>100</v>
      </c>
      <c r="D9" s="4">
        <v>0.155</v>
      </c>
      <c r="E9" s="5">
        <f t="shared" si="0"/>
        <v>7.75</v>
      </c>
      <c r="F9" s="1">
        <v>0</v>
      </c>
      <c r="G9" s="1">
        <f t="shared" si="1"/>
        <v>7.75</v>
      </c>
    </row>
    <row r="10" spans="1:7" x14ac:dyDescent="0.2">
      <c r="A10" s="1" t="s">
        <v>16</v>
      </c>
      <c r="B10" s="3">
        <v>44121</v>
      </c>
      <c r="C10" s="1">
        <v>100</v>
      </c>
      <c r="D10" s="4">
        <v>0.155</v>
      </c>
      <c r="E10" s="5">
        <f t="shared" si="0"/>
        <v>7.75</v>
      </c>
      <c r="F10" s="1">
        <v>0</v>
      </c>
      <c r="G10" s="1">
        <f t="shared" si="1"/>
        <v>7.75</v>
      </c>
    </row>
    <row r="11" spans="1:7" x14ac:dyDescent="0.2">
      <c r="A11" s="1" t="s">
        <v>16</v>
      </c>
      <c r="B11" s="3">
        <v>44303</v>
      </c>
      <c r="C11" s="1">
        <v>100</v>
      </c>
      <c r="D11" s="4">
        <v>0.155</v>
      </c>
      <c r="E11" s="5">
        <f t="shared" si="0"/>
        <v>7.75</v>
      </c>
      <c r="F11" s="1">
        <v>0</v>
      </c>
      <c r="G11" s="1">
        <f t="shared" si="1"/>
        <v>7.75</v>
      </c>
    </row>
    <row r="12" spans="1:7" x14ac:dyDescent="0.2">
      <c r="A12" s="1" t="s">
        <v>16</v>
      </c>
      <c r="B12" s="3">
        <v>44486</v>
      </c>
      <c r="C12" s="1">
        <v>100</v>
      </c>
      <c r="D12" s="4">
        <v>0.155</v>
      </c>
      <c r="E12" s="5">
        <f t="shared" si="0"/>
        <v>7.75</v>
      </c>
      <c r="F12" s="1">
        <v>0</v>
      </c>
      <c r="G12" s="1">
        <f t="shared" si="1"/>
        <v>7.75</v>
      </c>
    </row>
    <row r="13" spans="1:7" x14ac:dyDescent="0.2">
      <c r="A13" s="1" t="s">
        <v>16</v>
      </c>
      <c r="B13" s="3">
        <v>44668</v>
      </c>
      <c r="C13" s="1">
        <v>100</v>
      </c>
      <c r="D13" s="4">
        <v>0.155</v>
      </c>
      <c r="E13" s="5">
        <f t="shared" si="0"/>
        <v>7.75</v>
      </c>
      <c r="F13" s="1">
        <v>0</v>
      </c>
      <c r="G13" s="1">
        <f t="shared" si="1"/>
        <v>7.75</v>
      </c>
    </row>
    <row r="14" spans="1:7" x14ac:dyDescent="0.2">
      <c r="A14" s="1" t="s">
        <v>16</v>
      </c>
      <c r="B14" s="3">
        <v>44851</v>
      </c>
      <c r="C14" s="1">
        <v>100</v>
      </c>
      <c r="D14" s="4">
        <v>0.155</v>
      </c>
      <c r="E14" s="5">
        <f t="shared" si="0"/>
        <v>7.75</v>
      </c>
      <c r="F14" s="1">
        <v>0</v>
      </c>
      <c r="G14" s="1">
        <f t="shared" si="1"/>
        <v>7.75</v>
      </c>
    </row>
    <row r="15" spans="1:7" x14ac:dyDescent="0.2">
      <c r="A15" s="1" t="s">
        <v>16</v>
      </c>
      <c r="B15" s="3">
        <v>45033</v>
      </c>
      <c r="C15" s="1">
        <v>100</v>
      </c>
      <c r="D15" s="4">
        <v>0.155</v>
      </c>
      <c r="E15" s="5">
        <f t="shared" si="0"/>
        <v>7.75</v>
      </c>
      <c r="F15" s="1">
        <v>0</v>
      </c>
      <c r="G15" s="1">
        <f t="shared" si="1"/>
        <v>7.75</v>
      </c>
    </row>
    <row r="16" spans="1:7" x14ac:dyDescent="0.2">
      <c r="A16" s="1" t="s">
        <v>16</v>
      </c>
      <c r="B16" s="3">
        <v>45216</v>
      </c>
      <c r="C16" s="1">
        <v>100</v>
      </c>
      <c r="D16" s="4">
        <v>0.155</v>
      </c>
      <c r="E16" s="5">
        <f t="shared" si="0"/>
        <v>7.75</v>
      </c>
      <c r="F16" s="1">
        <v>0</v>
      </c>
      <c r="G16" s="1">
        <f t="shared" si="1"/>
        <v>7.75</v>
      </c>
    </row>
    <row r="17" spans="1:7" x14ac:dyDescent="0.2">
      <c r="A17" s="1" t="s">
        <v>16</v>
      </c>
      <c r="B17" s="3">
        <v>45399</v>
      </c>
      <c r="C17" s="1">
        <v>100</v>
      </c>
      <c r="D17" s="4">
        <v>0.155</v>
      </c>
      <c r="E17" s="5">
        <f t="shared" si="0"/>
        <v>7.75</v>
      </c>
      <c r="F17" s="1">
        <v>0</v>
      </c>
      <c r="G17" s="1">
        <f t="shared" si="1"/>
        <v>7.75</v>
      </c>
    </row>
    <row r="18" spans="1:7" x14ac:dyDescent="0.2">
      <c r="A18" s="1" t="s">
        <v>16</v>
      </c>
      <c r="B18" s="3">
        <v>45582</v>
      </c>
      <c r="C18" s="1">
        <v>100</v>
      </c>
      <c r="D18" s="4">
        <v>0.155</v>
      </c>
      <c r="E18" s="5">
        <f t="shared" si="0"/>
        <v>7.75</v>
      </c>
      <c r="F18" s="1">
        <v>0</v>
      </c>
      <c r="G18" s="1">
        <f t="shared" si="1"/>
        <v>7.75</v>
      </c>
    </row>
    <row r="19" spans="1:7" x14ac:dyDescent="0.2">
      <c r="A19" s="1" t="s">
        <v>16</v>
      </c>
      <c r="B19" s="3">
        <v>45764</v>
      </c>
      <c r="C19" s="1">
        <v>100</v>
      </c>
      <c r="D19" s="4">
        <v>0.155</v>
      </c>
      <c r="E19" s="5">
        <f t="shared" si="0"/>
        <v>7.75</v>
      </c>
      <c r="F19" s="1">
        <v>0</v>
      </c>
      <c r="G19" s="1">
        <f t="shared" si="1"/>
        <v>7.75</v>
      </c>
    </row>
    <row r="20" spans="1:7" x14ac:dyDescent="0.2">
      <c r="A20" s="1" t="s">
        <v>16</v>
      </c>
      <c r="B20" s="3">
        <v>45947</v>
      </c>
      <c r="C20" s="1">
        <v>100</v>
      </c>
      <c r="D20" s="4">
        <v>0.155</v>
      </c>
      <c r="E20" s="5">
        <f t="shared" si="0"/>
        <v>7.75</v>
      </c>
      <c r="F20" s="1">
        <v>0</v>
      </c>
      <c r="G20" s="1">
        <f t="shared" si="1"/>
        <v>7.75</v>
      </c>
    </row>
    <row r="21" spans="1:7" x14ac:dyDescent="0.2">
      <c r="A21" s="1" t="s">
        <v>16</v>
      </c>
      <c r="B21" s="3">
        <v>46129</v>
      </c>
      <c r="C21" s="1">
        <v>100</v>
      </c>
      <c r="D21" s="4">
        <v>0.155</v>
      </c>
      <c r="E21" s="5">
        <f t="shared" si="0"/>
        <v>7.75</v>
      </c>
      <c r="F21" s="1">
        <v>0</v>
      </c>
      <c r="G21" s="1">
        <f t="shared" si="1"/>
        <v>7.75</v>
      </c>
    </row>
    <row r="22" spans="1:7" x14ac:dyDescent="0.2">
      <c r="A22" s="1" t="s">
        <v>16</v>
      </c>
      <c r="B22" s="3">
        <v>46312</v>
      </c>
      <c r="C22" s="1">
        <f>C21-F22</f>
        <v>0</v>
      </c>
      <c r="D22" s="4">
        <v>0.155</v>
      </c>
      <c r="E22" s="5">
        <f t="shared" si="0"/>
        <v>7.75</v>
      </c>
      <c r="F22" s="1">
        <v>100</v>
      </c>
      <c r="G22" s="1">
        <f t="shared" si="1"/>
        <v>107.75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17</v>
      </c>
      <c r="B25" s="3">
        <v>45812</v>
      </c>
      <c r="C25" s="1">
        <v>100</v>
      </c>
      <c r="D25" s="4">
        <v>0.29499999999999998</v>
      </c>
      <c r="E25" s="5">
        <v>0</v>
      </c>
      <c r="F25" s="1">
        <v>0</v>
      </c>
      <c r="G25" s="1">
        <f>F25+E25</f>
        <v>0</v>
      </c>
    </row>
    <row r="26" spans="1:7" x14ac:dyDescent="0.2">
      <c r="A26" s="1" t="s">
        <v>17</v>
      </c>
      <c r="B26" s="3">
        <v>45991</v>
      </c>
      <c r="C26" s="1">
        <v>100</v>
      </c>
      <c r="D26" s="4">
        <v>0.29499999999999998</v>
      </c>
      <c r="E26" s="5">
        <f>((D26*C25)/360)*DAYS360(B25,B26)</f>
        <v>14.422222222222222</v>
      </c>
      <c r="F26" s="1">
        <v>0</v>
      </c>
      <c r="G26" s="5">
        <f t="shared" ref="G26:G35" si="2">F26+E26</f>
        <v>14.422222222222222</v>
      </c>
    </row>
    <row r="27" spans="1:7" x14ac:dyDescent="0.2">
      <c r="A27" s="1" t="s">
        <v>17</v>
      </c>
      <c r="B27" s="3">
        <v>46172</v>
      </c>
      <c r="C27" s="1">
        <v>100</v>
      </c>
      <c r="D27" s="4">
        <v>0.29499999999999998</v>
      </c>
      <c r="E27" s="5">
        <f t="shared" ref="E27:E35" si="3">((D27*C26)/360)*DAYS360(B26,B27)</f>
        <v>14.75</v>
      </c>
      <c r="F27" s="1">
        <v>0</v>
      </c>
      <c r="G27" s="1">
        <f t="shared" si="2"/>
        <v>14.75</v>
      </c>
    </row>
    <row r="28" spans="1:7" x14ac:dyDescent="0.2">
      <c r="A28" s="1" t="s">
        <v>17</v>
      </c>
      <c r="B28" s="3">
        <v>46356</v>
      </c>
      <c r="C28" s="1">
        <v>100</v>
      </c>
      <c r="D28" s="4">
        <v>0.29499999999999998</v>
      </c>
      <c r="E28" s="5">
        <f t="shared" si="3"/>
        <v>14.75</v>
      </c>
      <c r="F28" s="1">
        <v>0</v>
      </c>
      <c r="G28" s="1">
        <f t="shared" si="2"/>
        <v>14.75</v>
      </c>
    </row>
    <row r="29" spans="1:7" x14ac:dyDescent="0.2">
      <c r="A29" s="1" t="s">
        <v>17</v>
      </c>
      <c r="B29" s="3">
        <v>46537</v>
      </c>
      <c r="C29" s="1">
        <v>100</v>
      </c>
      <c r="D29" s="4">
        <v>0.29499999999999998</v>
      </c>
      <c r="E29" s="5">
        <f t="shared" si="3"/>
        <v>14.75</v>
      </c>
      <c r="F29" s="1">
        <v>0</v>
      </c>
      <c r="G29" s="1">
        <f t="shared" si="2"/>
        <v>14.75</v>
      </c>
    </row>
    <row r="30" spans="1:7" x14ac:dyDescent="0.2">
      <c r="A30" s="1" t="s">
        <v>17</v>
      </c>
      <c r="B30" s="3">
        <v>46721</v>
      </c>
      <c r="C30" s="1">
        <v>100</v>
      </c>
      <c r="D30" s="4">
        <v>0.29499999999999998</v>
      </c>
      <c r="E30" s="5">
        <f t="shared" si="3"/>
        <v>14.75</v>
      </c>
      <c r="F30" s="1">
        <v>0</v>
      </c>
      <c r="G30" s="1">
        <f t="shared" si="2"/>
        <v>14.75</v>
      </c>
    </row>
    <row r="31" spans="1:7" x14ac:dyDescent="0.2">
      <c r="A31" s="1" t="s">
        <v>17</v>
      </c>
      <c r="B31" s="3">
        <v>46903</v>
      </c>
      <c r="C31" s="1">
        <v>100</v>
      </c>
      <c r="D31" s="4">
        <v>0.29499999999999998</v>
      </c>
      <c r="E31" s="5">
        <f t="shared" si="3"/>
        <v>14.75</v>
      </c>
      <c r="F31" s="1">
        <v>0</v>
      </c>
      <c r="G31" s="1">
        <f t="shared" si="2"/>
        <v>14.75</v>
      </c>
    </row>
    <row r="32" spans="1:7" x14ac:dyDescent="0.2">
      <c r="A32" s="1" t="s">
        <v>17</v>
      </c>
      <c r="B32" s="3">
        <v>47087</v>
      </c>
      <c r="C32" s="1">
        <v>100</v>
      </c>
      <c r="D32" s="4">
        <v>0.29499999999999998</v>
      </c>
      <c r="E32" s="5">
        <f t="shared" si="3"/>
        <v>14.75</v>
      </c>
      <c r="F32" s="1">
        <v>0</v>
      </c>
      <c r="G32" s="1">
        <f t="shared" si="2"/>
        <v>14.75</v>
      </c>
    </row>
    <row r="33" spans="1:7" x14ac:dyDescent="0.2">
      <c r="A33" s="1" t="s">
        <v>17</v>
      </c>
      <c r="B33" s="3">
        <v>47268</v>
      </c>
      <c r="C33" s="1">
        <v>100</v>
      </c>
      <c r="D33" s="4">
        <v>0.29499999999999998</v>
      </c>
      <c r="E33" s="5">
        <f t="shared" si="3"/>
        <v>14.75</v>
      </c>
      <c r="F33" s="1">
        <v>0</v>
      </c>
      <c r="G33" s="1">
        <f t="shared" si="2"/>
        <v>14.75</v>
      </c>
    </row>
    <row r="34" spans="1:7" x14ac:dyDescent="0.2">
      <c r="A34" s="1" t="s">
        <v>17</v>
      </c>
      <c r="B34" s="3">
        <v>47452</v>
      </c>
      <c r="C34" s="1">
        <v>100</v>
      </c>
      <c r="D34" s="4">
        <v>0.29499999999999998</v>
      </c>
      <c r="E34" s="5">
        <f t="shared" si="3"/>
        <v>14.75</v>
      </c>
      <c r="F34" s="1">
        <v>0</v>
      </c>
      <c r="G34" s="1">
        <f t="shared" si="2"/>
        <v>14.75</v>
      </c>
    </row>
    <row r="35" spans="1:7" x14ac:dyDescent="0.2">
      <c r="A35" s="1" t="s">
        <v>17</v>
      </c>
      <c r="B35" s="3">
        <v>47633</v>
      </c>
      <c r="C35" s="1">
        <f>C34-F35</f>
        <v>0</v>
      </c>
      <c r="D35" s="4">
        <v>0.29499999999999998</v>
      </c>
      <c r="E35" s="5">
        <f t="shared" si="3"/>
        <v>14.75</v>
      </c>
      <c r="F35" s="1">
        <v>100</v>
      </c>
      <c r="G35" s="1">
        <f t="shared" si="2"/>
        <v>114.75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C569F-8AD1-4E3B-A067-A5AC4159279E}">
  <dimension ref="A1:F17"/>
  <sheetViews>
    <sheetView workbookViewId="0">
      <selection activeCell="E16" sqref="E16"/>
    </sheetView>
  </sheetViews>
  <sheetFormatPr baseColWidth="10" defaultRowHeight="15" x14ac:dyDescent="0.2"/>
  <cols>
    <col min="1" max="6" width="17.832031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6" x14ac:dyDescent="0.2">
      <c r="A2" s="1" t="s">
        <v>22</v>
      </c>
      <c r="B2" s="1" t="s">
        <v>24</v>
      </c>
      <c r="C2" s="3">
        <v>45323</v>
      </c>
      <c r="D2" s="3">
        <v>46203</v>
      </c>
      <c r="E2" s="1">
        <v>10</v>
      </c>
      <c r="F2" s="1">
        <v>0</v>
      </c>
    </row>
    <row r="3" spans="1:6" x14ac:dyDescent="0.2">
      <c r="A3" s="1" t="s">
        <v>41</v>
      </c>
      <c r="B3" s="1" t="s">
        <v>24</v>
      </c>
      <c r="C3" s="3">
        <v>45596</v>
      </c>
      <c r="D3" s="3">
        <v>46325</v>
      </c>
      <c r="E3" s="1">
        <v>10</v>
      </c>
      <c r="F3" s="1">
        <v>0</v>
      </c>
    </row>
    <row r="4" spans="1:6" x14ac:dyDescent="0.2">
      <c r="A4" s="1" t="s">
        <v>42</v>
      </c>
      <c r="B4" s="1" t="s">
        <v>24</v>
      </c>
      <c r="C4" s="3">
        <v>45366</v>
      </c>
      <c r="D4" s="3">
        <v>46371</v>
      </c>
      <c r="E4" s="1">
        <v>10</v>
      </c>
      <c r="F4" s="1">
        <v>0</v>
      </c>
    </row>
    <row r="5" spans="1:6" x14ac:dyDescent="0.2">
      <c r="A5" s="1" t="s">
        <v>43</v>
      </c>
      <c r="B5" s="1" t="s">
        <v>24</v>
      </c>
      <c r="C5" s="3">
        <v>45432</v>
      </c>
      <c r="D5" s="3">
        <v>46477</v>
      </c>
      <c r="E5" s="1">
        <v>10</v>
      </c>
      <c r="F5" s="1">
        <v>0</v>
      </c>
    </row>
    <row r="6" spans="1:6" x14ac:dyDescent="0.2">
      <c r="A6" s="1" t="s">
        <v>44</v>
      </c>
      <c r="B6" s="1" t="s">
        <v>24</v>
      </c>
      <c r="C6" s="3">
        <v>45989</v>
      </c>
      <c r="D6" s="3">
        <v>46507</v>
      </c>
      <c r="E6" s="1">
        <v>10</v>
      </c>
      <c r="F6" s="1">
        <v>0</v>
      </c>
    </row>
    <row r="7" spans="1:6" x14ac:dyDescent="0.2">
      <c r="A7" s="1" t="s">
        <v>23</v>
      </c>
      <c r="B7" s="1" t="s">
        <v>24</v>
      </c>
      <c r="C7" s="3">
        <v>45323</v>
      </c>
      <c r="D7" s="3">
        <v>46568</v>
      </c>
      <c r="E7" s="1">
        <v>10</v>
      </c>
      <c r="F7" s="1">
        <v>0</v>
      </c>
    </row>
    <row r="8" spans="1:6" x14ac:dyDescent="0.2">
      <c r="A8" s="1" t="s">
        <v>45</v>
      </c>
      <c r="B8" s="1" t="s">
        <v>24</v>
      </c>
      <c r="C8" s="3">
        <v>46112</v>
      </c>
      <c r="D8" s="3">
        <v>46660</v>
      </c>
      <c r="E8" s="1">
        <v>10</v>
      </c>
      <c r="F8" s="1">
        <v>0</v>
      </c>
    </row>
    <row r="9" spans="1:6" x14ac:dyDescent="0.2">
      <c r="A9" s="1" t="s">
        <v>46</v>
      </c>
      <c r="B9" s="1" t="s">
        <v>24</v>
      </c>
      <c r="C9" s="3">
        <v>45366</v>
      </c>
      <c r="D9" s="3">
        <v>46736</v>
      </c>
      <c r="E9" s="1">
        <v>10</v>
      </c>
      <c r="F9" s="1">
        <v>0</v>
      </c>
    </row>
    <row r="10" spans="1:6" x14ac:dyDescent="0.2">
      <c r="A10" s="1" t="s">
        <v>47</v>
      </c>
      <c r="B10" s="1" t="s">
        <v>24</v>
      </c>
      <c r="C10" s="3">
        <v>46112</v>
      </c>
      <c r="D10" s="3">
        <v>46843</v>
      </c>
      <c r="E10" s="1">
        <v>10</v>
      </c>
      <c r="F10" s="1">
        <v>0</v>
      </c>
    </row>
    <row r="11" spans="1:6" x14ac:dyDescent="0.2">
      <c r="A11" s="1" t="s">
        <v>48</v>
      </c>
      <c r="B11" s="1" t="s">
        <v>24</v>
      </c>
      <c r="C11" s="3">
        <v>45323</v>
      </c>
      <c r="D11" s="3">
        <v>46934</v>
      </c>
      <c r="E11" s="1">
        <v>10</v>
      </c>
      <c r="F11" s="1">
        <v>0</v>
      </c>
    </row>
    <row r="12" spans="1:6" x14ac:dyDescent="0.2">
      <c r="A12" s="1" t="s">
        <v>49</v>
      </c>
      <c r="B12" s="1" t="s">
        <v>24</v>
      </c>
      <c r="C12" s="3">
        <v>46112</v>
      </c>
      <c r="D12" s="3">
        <v>47025</v>
      </c>
      <c r="E12" s="1">
        <v>10</v>
      </c>
      <c r="F12" s="1">
        <v>0</v>
      </c>
    </row>
    <row r="13" spans="1:6" x14ac:dyDescent="0.2">
      <c r="A13" s="1" t="s">
        <v>50</v>
      </c>
      <c r="B13" s="1" t="s">
        <v>24</v>
      </c>
      <c r="C13" s="3">
        <v>46112</v>
      </c>
      <c r="D13" s="3">
        <v>47205</v>
      </c>
      <c r="E13" s="1">
        <v>10</v>
      </c>
      <c r="F13" s="1">
        <v>0</v>
      </c>
    </row>
    <row r="14" spans="1:6" x14ac:dyDescent="0.2">
      <c r="A14" s="1" t="s">
        <v>96</v>
      </c>
      <c r="B14" s="1" t="s">
        <v>24</v>
      </c>
      <c r="C14" s="3">
        <v>46203</v>
      </c>
      <c r="D14" s="3">
        <v>46689</v>
      </c>
      <c r="E14" s="1">
        <v>10</v>
      </c>
      <c r="F14" s="1">
        <v>0</v>
      </c>
    </row>
    <row r="15" spans="1:6" x14ac:dyDescent="0.2">
      <c r="A15" s="1" t="s">
        <v>97</v>
      </c>
      <c r="B15" s="1" t="s">
        <v>24</v>
      </c>
      <c r="C15" s="3">
        <v>46203</v>
      </c>
      <c r="D15" s="3">
        <v>47102</v>
      </c>
      <c r="E15" s="1">
        <v>10</v>
      </c>
      <c r="F15" s="1">
        <v>0</v>
      </c>
    </row>
    <row r="16" spans="1:6" x14ac:dyDescent="0.2">
      <c r="A16" s="1"/>
      <c r="B16" s="1"/>
      <c r="C16" s="3"/>
      <c r="D16" s="3"/>
      <c r="E16" s="1"/>
      <c r="F16" s="1"/>
    </row>
    <row r="17" spans="1:6" x14ac:dyDescent="0.2">
      <c r="A17" s="1"/>
      <c r="B17" s="1"/>
      <c r="C17" s="3"/>
      <c r="D17" s="3"/>
      <c r="E17" s="1"/>
      <c r="F17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4D422-24E5-4A5A-9B1F-3DDF62A8DF41}">
  <dimension ref="A1:F8"/>
  <sheetViews>
    <sheetView workbookViewId="0">
      <selection activeCell="C17" sqref="C17"/>
    </sheetView>
  </sheetViews>
  <sheetFormatPr baseColWidth="10" defaultRowHeight="15" x14ac:dyDescent="0.2"/>
  <cols>
    <col min="1" max="6" width="20.5" customWidth="1"/>
    <col min="7" max="7" width="14.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28</v>
      </c>
      <c r="F1" s="2" t="s">
        <v>21</v>
      </c>
    </row>
    <row r="2" spans="1:6" x14ac:dyDescent="0.2">
      <c r="A2" s="1" t="s">
        <v>51</v>
      </c>
      <c r="B2" s="1" t="s">
        <v>27</v>
      </c>
      <c r="C2" s="3">
        <v>45971</v>
      </c>
      <c r="D2" s="3">
        <v>46265</v>
      </c>
      <c r="E2" s="1">
        <v>10</v>
      </c>
      <c r="F2" s="4">
        <v>0.05</v>
      </c>
    </row>
    <row r="3" spans="1:6" x14ac:dyDescent="0.2">
      <c r="A3" s="1" t="s">
        <v>25</v>
      </c>
      <c r="B3" s="1" t="s">
        <v>27</v>
      </c>
      <c r="C3" s="3">
        <v>46066</v>
      </c>
      <c r="D3" s="3">
        <v>46444</v>
      </c>
      <c r="E3" s="1">
        <v>10</v>
      </c>
      <c r="F3" s="4">
        <v>6.5000000000000002E-2</v>
      </c>
    </row>
    <row r="4" spans="1:6" x14ac:dyDescent="0.2">
      <c r="A4" s="1" t="s">
        <v>26</v>
      </c>
      <c r="B4" s="1" t="s">
        <v>27</v>
      </c>
      <c r="C4" s="3">
        <v>46112</v>
      </c>
      <c r="D4" s="3">
        <v>46630</v>
      </c>
      <c r="E4" s="1">
        <v>10</v>
      </c>
      <c r="F4" s="6">
        <v>0.06</v>
      </c>
    </row>
    <row r="5" spans="1:6" x14ac:dyDescent="0.2">
      <c r="A5" s="1" t="s">
        <v>52</v>
      </c>
      <c r="B5" s="1" t="s">
        <v>27</v>
      </c>
      <c r="C5" s="3">
        <v>46132</v>
      </c>
      <c r="D5" s="3">
        <v>46808</v>
      </c>
      <c r="E5" s="1">
        <v>10</v>
      </c>
      <c r="F5" s="4">
        <v>6.5000000000000002E-2</v>
      </c>
    </row>
    <row r="6" spans="1:6" x14ac:dyDescent="0.2">
      <c r="A6" s="1" t="s">
        <v>53</v>
      </c>
      <c r="B6" s="1" t="s">
        <v>27</v>
      </c>
      <c r="C6" s="3">
        <v>46142</v>
      </c>
      <c r="D6" s="3">
        <v>46996</v>
      </c>
      <c r="E6" s="1">
        <v>10</v>
      </c>
      <c r="F6" s="4">
        <v>6.9000000000000006E-2</v>
      </c>
    </row>
    <row r="7" spans="1:6" x14ac:dyDescent="0.2">
      <c r="A7" s="1" t="s">
        <v>98</v>
      </c>
      <c r="B7" s="1" t="s">
        <v>27</v>
      </c>
      <c r="C7" s="3">
        <v>46203</v>
      </c>
      <c r="D7" s="3">
        <v>46598</v>
      </c>
      <c r="E7" s="1">
        <v>10</v>
      </c>
      <c r="F7" s="4">
        <v>5.3999999999999999E-2</v>
      </c>
    </row>
    <row r="8" spans="1:6" x14ac:dyDescent="0.2">
      <c r="A8" s="1"/>
      <c r="B8" s="1"/>
      <c r="C8" s="3"/>
      <c r="D8" s="3"/>
      <c r="E8" s="1"/>
      <c r="F8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2C03-5D2E-4402-9FEE-10F6AEE7B245}">
  <dimension ref="A1:F9"/>
  <sheetViews>
    <sheetView workbookViewId="0">
      <selection activeCell="E20" sqref="E20"/>
    </sheetView>
  </sheetViews>
  <sheetFormatPr baseColWidth="10" defaultRowHeight="15" x14ac:dyDescent="0.2"/>
  <cols>
    <col min="1" max="6" width="19.16406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54</v>
      </c>
      <c r="F1" s="2" t="s">
        <v>21</v>
      </c>
    </row>
    <row r="2" spans="1:6" x14ac:dyDescent="0.2">
      <c r="A2" s="1" t="s">
        <v>55</v>
      </c>
      <c r="B2" s="1" t="s">
        <v>56</v>
      </c>
      <c r="C2" s="3">
        <v>45350</v>
      </c>
      <c r="D2" s="3">
        <v>46203</v>
      </c>
      <c r="E2" s="1">
        <v>838.95</v>
      </c>
      <c r="F2" s="1">
        <v>0</v>
      </c>
    </row>
    <row r="3" spans="1:6" x14ac:dyDescent="0.2">
      <c r="A3" s="1" t="s">
        <v>57</v>
      </c>
      <c r="B3" s="1" t="s">
        <v>56</v>
      </c>
      <c r="C3" s="3">
        <v>46097</v>
      </c>
      <c r="D3" s="3">
        <v>46295</v>
      </c>
      <c r="E3" s="1">
        <v>1396.45</v>
      </c>
      <c r="F3" s="1">
        <v>0</v>
      </c>
    </row>
    <row r="4" spans="1:6" x14ac:dyDescent="0.2">
      <c r="A4" s="1" t="s">
        <v>58</v>
      </c>
      <c r="B4" s="1" t="s">
        <v>56</v>
      </c>
      <c r="C4" s="3">
        <v>46080</v>
      </c>
      <c r="D4" s="3">
        <v>46568</v>
      </c>
      <c r="E4" s="1">
        <v>1377.09</v>
      </c>
      <c r="F4" s="1">
        <v>0</v>
      </c>
    </row>
    <row r="5" spans="1:6" x14ac:dyDescent="0.2">
      <c r="A5" s="1" t="s">
        <v>59</v>
      </c>
      <c r="B5" s="1" t="s">
        <v>56</v>
      </c>
      <c r="C5" s="3">
        <v>46112</v>
      </c>
      <c r="D5" s="3">
        <v>46934</v>
      </c>
      <c r="E5" s="1">
        <v>1370.29</v>
      </c>
      <c r="F5" s="1">
        <v>0</v>
      </c>
    </row>
    <row r="6" spans="1:6" x14ac:dyDescent="0.2">
      <c r="A6" s="1" t="s">
        <v>83</v>
      </c>
      <c r="B6" s="1" t="s">
        <v>56</v>
      </c>
      <c r="C6" s="3">
        <v>46171</v>
      </c>
      <c r="D6" s="3">
        <v>46234</v>
      </c>
      <c r="E6" s="1">
        <v>1407.89</v>
      </c>
      <c r="F6" s="1">
        <v>0</v>
      </c>
    </row>
    <row r="7" spans="1:6" x14ac:dyDescent="0.2">
      <c r="A7" s="1" t="s">
        <v>84</v>
      </c>
      <c r="B7" s="1" t="s">
        <v>56</v>
      </c>
      <c r="C7" s="3">
        <v>46171</v>
      </c>
      <c r="D7" s="3">
        <v>46477</v>
      </c>
      <c r="E7" s="1">
        <v>1407.89</v>
      </c>
      <c r="F7" s="1">
        <v>0</v>
      </c>
    </row>
    <row r="8" spans="1:6" x14ac:dyDescent="0.2">
      <c r="A8" s="1" t="s">
        <v>90</v>
      </c>
      <c r="B8" s="1" t="s">
        <v>56</v>
      </c>
      <c r="C8" s="3">
        <v>46185</v>
      </c>
      <c r="D8" s="3">
        <v>46265</v>
      </c>
      <c r="E8" s="1">
        <v>1446.17</v>
      </c>
      <c r="F8" s="1">
        <v>0</v>
      </c>
    </row>
    <row r="9" spans="1:6" x14ac:dyDescent="0.2">
      <c r="A9" s="1" t="s">
        <v>91</v>
      </c>
      <c r="B9" s="1" t="s">
        <v>56</v>
      </c>
      <c r="C9" s="3">
        <v>46185</v>
      </c>
      <c r="D9" s="3">
        <v>47102</v>
      </c>
      <c r="E9" s="1">
        <v>1446.17</v>
      </c>
      <c r="F9" s="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D59B8-DD43-4B7F-9329-422163A0A2B5}">
  <dimension ref="A1:G222"/>
  <sheetViews>
    <sheetView workbookViewId="0">
      <selection activeCell="C8" sqref="C8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60</v>
      </c>
      <c r="B2" s="3">
        <v>46080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60</v>
      </c>
      <c r="B3" s="3">
        <v>46112</v>
      </c>
      <c r="C3" s="1">
        <v>100</v>
      </c>
      <c r="D3" s="4">
        <v>0.06</v>
      </c>
      <c r="E3" s="5">
        <f>((D3*C2)/360)*DAYS360(B2,B3)</f>
        <v>0.56666666666666665</v>
      </c>
      <c r="F3" s="1">
        <v>0</v>
      </c>
      <c r="G3" s="1">
        <f>F3+E3</f>
        <v>0.56666666666666665</v>
      </c>
    </row>
    <row r="4" spans="1:7" x14ac:dyDescent="0.2">
      <c r="A4" s="1" t="s">
        <v>60</v>
      </c>
      <c r="B4" s="3">
        <v>46142</v>
      </c>
      <c r="C4" s="1">
        <v>100</v>
      </c>
      <c r="D4" s="4">
        <v>0.06</v>
      </c>
      <c r="E4" s="5">
        <f t="shared" ref="E4:E22" si="0">((D4*C3)/360)*DAYS360(B3,B4)</f>
        <v>0.5</v>
      </c>
      <c r="F4" s="1">
        <v>0</v>
      </c>
      <c r="G4" s="1">
        <f t="shared" ref="G4:G22" si="1">F4+E4</f>
        <v>0.5</v>
      </c>
    </row>
    <row r="5" spans="1:7" x14ac:dyDescent="0.2">
      <c r="A5" s="1" t="s">
        <v>60</v>
      </c>
      <c r="B5" s="3">
        <v>46171</v>
      </c>
      <c r="C5" s="1">
        <v>100</v>
      </c>
      <c r="D5" s="4">
        <v>0.06</v>
      </c>
      <c r="E5" s="5">
        <f t="shared" si="0"/>
        <v>0.48333333333333334</v>
      </c>
      <c r="F5" s="1">
        <v>0</v>
      </c>
      <c r="G5" s="1">
        <f t="shared" si="1"/>
        <v>0.48333333333333334</v>
      </c>
    </row>
    <row r="6" spans="1:7" x14ac:dyDescent="0.2">
      <c r="A6" s="1" t="s">
        <v>60</v>
      </c>
      <c r="B6" s="3">
        <v>46203</v>
      </c>
      <c r="C6" s="1">
        <v>100</v>
      </c>
      <c r="D6" s="4">
        <v>0.06</v>
      </c>
      <c r="E6" s="5">
        <f t="shared" si="0"/>
        <v>0.51666666666666661</v>
      </c>
      <c r="F6" s="1">
        <v>0</v>
      </c>
      <c r="G6" s="1">
        <f t="shared" si="1"/>
        <v>0.51666666666666661</v>
      </c>
    </row>
    <row r="7" spans="1:7" x14ac:dyDescent="0.2">
      <c r="A7" s="1" t="s">
        <v>60</v>
      </c>
      <c r="B7" s="3">
        <v>46234</v>
      </c>
      <c r="C7" s="1">
        <v>100</v>
      </c>
      <c r="D7" s="4">
        <v>0.06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60</v>
      </c>
      <c r="B8" s="3">
        <v>46265</v>
      </c>
      <c r="C8" s="1">
        <v>100</v>
      </c>
      <c r="D8" s="4">
        <v>0.06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60</v>
      </c>
      <c r="B9" s="3">
        <v>46295</v>
      </c>
      <c r="C9" s="1">
        <v>100</v>
      </c>
      <c r="D9" s="4">
        <v>0.06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60</v>
      </c>
      <c r="B10" s="3">
        <v>46325</v>
      </c>
      <c r="C10" s="1">
        <v>100</v>
      </c>
      <c r="D10" s="4">
        <v>0.06</v>
      </c>
      <c r="E10" s="5">
        <f t="shared" si="0"/>
        <v>0.5</v>
      </c>
      <c r="F10" s="1">
        <v>0</v>
      </c>
      <c r="G10" s="1">
        <f t="shared" si="1"/>
        <v>0.5</v>
      </c>
    </row>
    <row r="11" spans="1:7" x14ac:dyDescent="0.2">
      <c r="A11" s="1" t="s">
        <v>60</v>
      </c>
      <c r="B11" s="3">
        <v>46356</v>
      </c>
      <c r="C11" s="1">
        <v>100</v>
      </c>
      <c r="D11" s="4">
        <v>0.06</v>
      </c>
      <c r="E11" s="5">
        <f t="shared" si="0"/>
        <v>0.5</v>
      </c>
      <c r="F11" s="1">
        <v>0</v>
      </c>
      <c r="G11" s="1">
        <f t="shared" si="1"/>
        <v>0.5</v>
      </c>
    </row>
    <row r="12" spans="1:7" x14ac:dyDescent="0.2">
      <c r="A12" s="1" t="s">
        <v>60</v>
      </c>
      <c r="B12" s="3">
        <v>46386</v>
      </c>
      <c r="C12" s="1">
        <v>100</v>
      </c>
      <c r="D12" s="4">
        <v>0.06</v>
      </c>
      <c r="E12" s="5">
        <f t="shared" si="0"/>
        <v>0.5</v>
      </c>
      <c r="F12" s="1">
        <v>0</v>
      </c>
      <c r="G12" s="1">
        <f t="shared" si="1"/>
        <v>0.5</v>
      </c>
    </row>
    <row r="13" spans="1:7" x14ac:dyDescent="0.2">
      <c r="A13" s="1" t="s">
        <v>60</v>
      </c>
      <c r="B13" s="3">
        <v>46416</v>
      </c>
      <c r="C13" s="1">
        <v>100</v>
      </c>
      <c r="D13" s="4">
        <v>0.06</v>
      </c>
      <c r="E13" s="5">
        <f t="shared" si="0"/>
        <v>0.48333333333333334</v>
      </c>
      <c r="F13" s="1">
        <v>0</v>
      </c>
      <c r="G13" s="1">
        <f t="shared" si="1"/>
        <v>0.48333333333333334</v>
      </c>
    </row>
    <row r="14" spans="1:7" x14ac:dyDescent="0.2">
      <c r="A14" s="1" t="s">
        <v>60</v>
      </c>
      <c r="B14" s="3">
        <v>46444</v>
      </c>
      <c r="C14" s="1">
        <v>100</v>
      </c>
      <c r="D14" s="4">
        <v>0.06</v>
      </c>
      <c r="E14" s="5">
        <f t="shared" si="0"/>
        <v>0.45</v>
      </c>
      <c r="F14" s="1">
        <v>0</v>
      </c>
      <c r="G14" s="1">
        <f t="shared" si="1"/>
        <v>0.45</v>
      </c>
    </row>
    <row r="15" spans="1:7" x14ac:dyDescent="0.2">
      <c r="A15" s="1" t="s">
        <v>60</v>
      </c>
      <c r="B15" s="3">
        <v>46477</v>
      </c>
      <c r="C15" s="1">
        <v>100</v>
      </c>
      <c r="D15" s="4">
        <v>0.06</v>
      </c>
      <c r="E15" s="5">
        <f t="shared" si="0"/>
        <v>0.58333333333333337</v>
      </c>
      <c r="F15" s="1">
        <v>0</v>
      </c>
      <c r="G15" s="1">
        <f t="shared" si="1"/>
        <v>0.58333333333333337</v>
      </c>
    </row>
    <row r="16" spans="1:7" x14ac:dyDescent="0.2">
      <c r="A16" s="1" t="s">
        <v>60</v>
      </c>
      <c r="B16" s="3">
        <v>46507</v>
      </c>
      <c r="C16" s="1">
        <v>100</v>
      </c>
      <c r="D16" s="4">
        <v>0.06</v>
      </c>
      <c r="E16" s="5">
        <f t="shared" si="0"/>
        <v>0.5</v>
      </c>
      <c r="F16" s="1">
        <v>0</v>
      </c>
      <c r="G16" s="1">
        <f t="shared" si="1"/>
        <v>0.5</v>
      </c>
    </row>
    <row r="17" spans="1:7" x14ac:dyDescent="0.2">
      <c r="A17" s="1" t="s">
        <v>60</v>
      </c>
      <c r="B17" s="3">
        <v>46538</v>
      </c>
      <c r="C17" s="1">
        <v>100</v>
      </c>
      <c r="D17" s="4">
        <v>0.06</v>
      </c>
      <c r="E17" s="5">
        <f t="shared" si="0"/>
        <v>0.5</v>
      </c>
      <c r="F17" s="1">
        <v>0</v>
      </c>
      <c r="G17" s="1">
        <f t="shared" si="1"/>
        <v>0.5</v>
      </c>
    </row>
    <row r="18" spans="1:7" x14ac:dyDescent="0.2">
      <c r="A18" s="1" t="s">
        <v>60</v>
      </c>
      <c r="B18" s="3">
        <v>46568</v>
      </c>
      <c r="C18" s="1">
        <v>100</v>
      </c>
      <c r="D18" s="4">
        <v>0.06</v>
      </c>
      <c r="E18" s="5">
        <f t="shared" si="0"/>
        <v>0.5</v>
      </c>
      <c r="F18" s="1">
        <v>0</v>
      </c>
      <c r="G18" s="1">
        <f t="shared" si="1"/>
        <v>0.5</v>
      </c>
    </row>
    <row r="19" spans="1:7" x14ac:dyDescent="0.2">
      <c r="A19" s="1" t="s">
        <v>60</v>
      </c>
      <c r="B19" s="3">
        <v>46598</v>
      </c>
      <c r="C19" s="1">
        <v>100</v>
      </c>
      <c r="D19" s="4">
        <v>0.06</v>
      </c>
      <c r="E19" s="5">
        <f t="shared" si="0"/>
        <v>0.5</v>
      </c>
      <c r="F19" s="1">
        <v>0</v>
      </c>
      <c r="G19" s="1">
        <f t="shared" si="1"/>
        <v>0.5</v>
      </c>
    </row>
    <row r="20" spans="1:7" x14ac:dyDescent="0.2">
      <c r="A20" s="1" t="s">
        <v>60</v>
      </c>
      <c r="B20" s="3">
        <v>46630</v>
      </c>
      <c r="C20" s="1">
        <v>100</v>
      </c>
      <c r="D20" s="4">
        <v>0.06</v>
      </c>
      <c r="E20" s="5">
        <f t="shared" si="0"/>
        <v>0.5</v>
      </c>
      <c r="F20" s="1">
        <v>0</v>
      </c>
      <c r="G20" s="1">
        <f t="shared" si="1"/>
        <v>0.5</v>
      </c>
    </row>
    <row r="21" spans="1:7" x14ac:dyDescent="0.2">
      <c r="A21" s="1" t="s">
        <v>60</v>
      </c>
      <c r="B21" s="3">
        <v>46660</v>
      </c>
      <c r="C21" s="1">
        <v>100</v>
      </c>
      <c r="D21" s="4">
        <v>0.06</v>
      </c>
      <c r="E21" s="5">
        <f t="shared" si="0"/>
        <v>0.5</v>
      </c>
      <c r="F21" s="1">
        <v>0</v>
      </c>
      <c r="G21" s="1">
        <f t="shared" si="1"/>
        <v>0.5</v>
      </c>
    </row>
    <row r="22" spans="1:7" x14ac:dyDescent="0.2">
      <c r="A22" s="1" t="s">
        <v>60</v>
      </c>
      <c r="B22" s="3">
        <v>46689</v>
      </c>
      <c r="C22" s="1">
        <f>C21-F22</f>
        <v>0</v>
      </c>
      <c r="D22" s="4">
        <v>0.06</v>
      </c>
      <c r="E22" s="5">
        <f t="shared" si="0"/>
        <v>0.48333333333333334</v>
      </c>
      <c r="F22" s="1">
        <v>100</v>
      </c>
      <c r="G22" s="1">
        <f t="shared" si="1"/>
        <v>100.48333333333333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61</v>
      </c>
      <c r="B25" s="3">
        <v>46112</v>
      </c>
      <c r="C25" s="1">
        <v>100</v>
      </c>
      <c r="D25" s="1">
        <v>0</v>
      </c>
      <c r="E25" s="1">
        <v>0</v>
      </c>
      <c r="F25" s="1">
        <v>0</v>
      </c>
      <c r="G25" s="1">
        <f>F25+E25</f>
        <v>0</v>
      </c>
    </row>
    <row r="26" spans="1:7" x14ac:dyDescent="0.2">
      <c r="A26" s="1" t="s">
        <v>61</v>
      </c>
      <c r="B26" s="3">
        <v>46142</v>
      </c>
      <c r="C26" s="1">
        <v>100</v>
      </c>
      <c r="D26" s="4">
        <v>0.06</v>
      </c>
      <c r="E26" s="5">
        <f t="shared" ref="E26:E43" si="2">((D26*C25)/360)*DAYS360(B25,B26)</f>
        <v>0.5</v>
      </c>
      <c r="F26" s="1">
        <v>0</v>
      </c>
      <c r="G26" s="1">
        <f t="shared" ref="G26:G43" si="3">F26+E26</f>
        <v>0.5</v>
      </c>
    </row>
    <row r="27" spans="1:7" x14ac:dyDescent="0.2">
      <c r="A27" s="1" t="s">
        <v>61</v>
      </c>
      <c r="B27" s="3">
        <v>46171</v>
      </c>
      <c r="C27" s="1">
        <v>100</v>
      </c>
      <c r="D27" s="4">
        <v>0.06</v>
      </c>
      <c r="E27" s="5">
        <f t="shared" si="2"/>
        <v>0.48333333333333334</v>
      </c>
      <c r="F27" s="1">
        <v>0</v>
      </c>
      <c r="G27" s="1">
        <f t="shared" si="3"/>
        <v>0.48333333333333334</v>
      </c>
    </row>
    <row r="28" spans="1:7" x14ac:dyDescent="0.2">
      <c r="A28" s="1" t="s">
        <v>61</v>
      </c>
      <c r="B28" s="3">
        <v>46203</v>
      </c>
      <c r="C28" s="1">
        <v>100</v>
      </c>
      <c r="D28" s="4">
        <v>0.06</v>
      </c>
      <c r="E28" s="5">
        <f t="shared" si="2"/>
        <v>0.51666666666666661</v>
      </c>
      <c r="F28" s="1">
        <v>0</v>
      </c>
      <c r="G28" s="1">
        <f t="shared" si="3"/>
        <v>0.51666666666666661</v>
      </c>
    </row>
    <row r="29" spans="1:7" x14ac:dyDescent="0.2">
      <c r="A29" s="1" t="s">
        <v>61</v>
      </c>
      <c r="B29" s="3">
        <v>46234</v>
      </c>
      <c r="C29" s="1">
        <v>100</v>
      </c>
      <c r="D29" s="4">
        <v>0.06</v>
      </c>
      <c r="E29" s="5">
        <f t="shared" si="2"/>
        <v>0.5</v>
      </c>
      <c r="F29" s="1">
        <v>0</v>
      </c>
      <c r="G29" s="1">
        <f t="shared" si="3"/>
        <v>0.5</v>
      </c>
    </row>
    <row r="30" spans="1:7" x14ac:dyDescent="0.2">
      <c r="A30" s="1" t="s">
        <v>61</v>
      </c>
      <c r="B30" s="3">
        <v>46265</v>
      </c>
      <c r="C30" s="1">
        <v>100</v>
      </c>
      <c r="D30" s="4">
        <v>0.06</v>
      </c>
      <c r="E30" s="5">
        <f t="shared" si="2"/>
        <v>0.5</v>
      </c>
      <c r="F30" s="1">
        <v>0</v>
      </c>
      <c r="G30" s="1">
        <f t="shared" si="3"/>
        <v>0.5</v>
      </c>
    </row>
    <row r="31" spans="1:7" x14ac:dyDescent="0.2">
      <c r="A31" s="1" t="s">
        <v>61</v>
      </c>
      <c r="B31" s="3">
        <v>46295</v>
      </c>
      <c r="C31" s="1">
        <v>100</v>
      </c>
      <c r="D31" s="4">
        <v>0.06</v>
      </c>
      <c r="E31" s="5">
        <f t="shared" si="2"/>
        <v>0.5</v>
      </c>
      <c r="F31" s="1">
        <v>0</v>
      </c>
      <c r="G31" s="1">
        <f t="shared" si="3"/>
        <v>0.5</v>
      </c>
    </row>
    <row r="32" spans="1:7" x14ac:dyDescent="0.2">
      <c r="A32" s="1" t="s">
        <v>61</v>
      </c>
      <c r="B32" s="3">
        <v>46325</v>
      </c>
      <c r="C32" s="1">
        <v>100</v>
      </c>
      <c r="D32" s="4">
        <v>0.06</v>
      </c>
      <c r="E32" s="5">
        <f t="shared" si="2"/>
        <v>0.5</v>
      </c>
      <c r="F32" s="1">
        <v>0</v>
      </c>
      <c r="G32" s="1">
        <f t="shared" si="3"/>
        <v>0.5</v>
      </c>
    </row>
    <row r="33" spans="1:7" x14ac:dyDescent="0.2">
      <c r="A33" s="1" t="s">
        <v>61</v>
      </c>
      <c r="B33" s="3">
        <v>46356</v>
      </c>
      <c r="C33" s="1">
        <v>100</v>
      </c>
      <c r="D33" s="4">
        <v>0.06</v>
      </c>
      <c r="E33" s="5">
        <f t="shared" si="2"/>
        <v>0.5</v>
      </c>
      <c r="F33" s="1">
        <v>0</v>
      </c>
      <c r="G33" s="1">
        <f t="shared" si="3"/>
        <v>0.5</v>
      </c>
    </row>
    <row r="34" spans="1:7" x14ac:dyDescent="0.2">
      <c r="A34" s="1" t="s">
        <v>61</v>
      </c>
      <c r="B34" s="3">
        <v>46386</v>
      </c>
      <c r="C34" s="1">
        <v>100</v>
      </c>
      <c r="D34" s="4">
        <v>0.06</v>
      </c>
      <c r="E34" s="5">
        <f t="shared" si="2"/>
        <v>0.5</v>
      </c>
      <c r="F34" s="1">
        <v>0</v>
      </c>
      <c r="G34" s="1">
        <f t="shared" si="3"/>
        <v>0.5</v>
      </c>
    </row>
    <row r="35" spans="1:7" x14ac:dyDescent="0.2">
      <c r="A35" s="1" t="s">
        <v>61</v>
      </c>
      <c r="B35" s="3">
        <v>46416</v>
      </c>
      <c r="C35" s="1">
        <v>100</v>
      </c>
      <c r="D35" s="4">
        <v>0.06</v>
      </c>
      <c r="E35" s="5">
        <f t="shared" si="2"/>
        <v>0.48333333333333334</v>
      </c>
      <c r="F35" s="1">
        <v>0</v>
      </c>
      <c r="G35" s="1">
        <f t="shared" si="3"/>
        <v>0.48333333333333334</v>
      </c>
    </row>
    <row r="36" spans="1:7" x14ac:dyDescent="0.2">
      <c r="A36" s="1" t="s">
        <v>61</v>
      </c>
      <c r="B36" s="3">
        <v>46444</v>
      </c>
      <c r="C36" s="1">
        <v>100</v>
      </c>
      <c r="D36" s="4">
        <v>0.06</v>
      </c>
      <c r="E36" s="5">
        <f t="shared" si="2"/>
        <v>0.45</v>
      </c>
      <c r="F36" s="1">
        <v>0</v>
      </c>
      <c r="G36" s="1">
        <f t="shared" si="3"/>
        <v>0.45</v>
      </c>
    </row>
    <row r="37" spans="1:7" x14ac:dyDescent="0.2">
      <c r="A37" s="1" t="s">
        <v>61</v>
      </c>
      <c r="B37" s="3">
        <v>46477</v>
      </c>
      <c r="C37" s="1">
        <v>100</v>
      </c>
      <c r="D37" s="4">
        <v>0.06</v>
      </c>
      <c r="E37" s="5">
        <f t="shared" si="2"/>
        <v>0.58333333333333337</v>
      </c>
      <c r="F37" s="1">
        <v>0</v>
      </c>
      <c r="G37" s="1">
        <f t="shared" si="3"/>
        <v>0.58333333333333337</v>
      </c>
    </row>
    <row r="38" spans="1:7" x14ac:dyDescent="0.2">
      <c r="A38" s="1" t="s">
        <v>61</v>
      </c>
      <c r="B38" s="3">
        <v>46507</v>
      </c>
      <c r="C38" s="1">
        <v>100</v>
      </c>
      <c r="D38" s="4">
        <v>0.06</v>
      </c>
      <c r="E38" s="5">
        <f t="shared" si="2"/>
        <v>0.5</v>
      </c>
      <c r="F38" s="1">
        <v>0</v>
      </c>
      <c r="G38" s="1">
        <f t="shared" si="3"/>
        <v>0.5</v>
      </c>
    </row>
    <row r="39" spans="1:7" x14ac:dyDescent="0.2">
      <c r="A39" s="1" t="s">
        <v>61</v>
      </c>
      <c r="B39" s="3">
        <v>46538</v>
      </c>
      <c r="C39" s="1">
        <v>100</v>
      </c>
      <c r="D39" s="4">
        <v>0.06</v>
      </c>
      <c r="E39" s="5">
        <f t="shared" si="2"/>
        <v>0.5</v>
      </c>
      <c r="F39" s="1">
        <v>0</v>
      </c>
      <c r="G39" s="1">
        <f t="shared" si="3"/>
        <v>0.5</v>
      </c>
    </row>
    <row r="40" spans="1:7" x14ac:dyDescent="0.2">
      <c r="A40" s="1" t="s">
        <v>61</v>
      </c>
      <c r="B40" s="3">
        <v>46568</v>
      </c>
      <c r="C40" s="1">
        <v>100</v>
      </c>
      <c r="D40" s="4">
        <v>0.06</v>
      </c>
      <c r="E40" s="5">
        <f t="shared" si="2"/>
        <v>0.5</v>
      </c>
      <c r="F40" s="1">
        <v>0</v>
      </c>
      <c r="G40" s="1">
        <f t="shared" si="3"/>
        <v>0.5</v>
      </c>
    </row>
    <row r="41" spans="1:7" x14ac:dyDescent="0.2">
      <c r="A41" s="1" t="s">
        <v>61</v>
      </c>
      <c r="B41" s="3">
        <v>46598</v>
      </c>
      <c r="C41" s="1">
        <v>100</v>
      </c>
      <c r="D41" s="4">
        <v>0.06</v>
      </c>
      <c r="E41" s="5">
        <f t="shared" si="2"/>
        <v>0.5</v>
      </c>
      <c r="F41" s="1">
        <v>0</v>
      </c>
      <c r="G41" s="1">
        <f t="shared" si="3"/>
        <v>0.5</v>
      </c>
    </row>
    <row r="42" spans="1:7" x14ac:dyDescent="0.2">
      <c r="A42" s="1" t="s">
        <v>61</v>
      </c>
      <c r="B42" s="3">
        <v>46630</v>
      </c>
      <c r="C42" s="1">
        <v>100</v>
      </c>
      <c r="D42" s="4">
        <v>0.06</v>
      </c>
      <c r="E42" s="5">
        <f t="shared" si="2"/>
        <v>0.5</v>
      </c>
      <c r="F42" s="1">
        <v>0</v>
      </c>
      <c r="G42" s="1">
        <f t="shared" si="3"/>
        <v>0.5</v>
      </c>
    </row>
    <row r="43" spans="1:7" x14ac:dyDescent="0.2">
      <c r="A43" s="1" t="s">
        <v>61</v>
      </c>
      <c r="B43" s="3">
        <v>46660</v>
      </c>
      <c r="C43" s="1">
        <v>100</v>
      </c>
      <c r="D43" s="4">
        <v>0.06</v>
      </c>
      <c r="E43" s="5">
        <f t="shared" si="2"/>
        <v>0.5</v>
      </c>
      <c r="F43" s="1">
        <v>0</v>
      </c>
      <c r="G43" s="1">
        <f t="shared" si="3"/>
        <v>0.5</v>
      </c>
    </row>
    <row r="44" spans="1:7" x14ac:dyDescent="0.2">
      <c r="A44" s="1" t="s">
        <v>61</v>
      </c>
      <c r="B44" s="3">
        <v>46689</v>
      </c>
      <c r="C44" s="1">
        <v>100</v>
      </c>
      <c r="D44" s="4">
        <v>0.06</v>
      </c>
      <c r="E44" s="5">
        <f t="shared" ref="E44:E56" si="4">((D44*C43)/360)*DAYS360(B43,B44)</f>
        <v>0.48333333333333334</v>
      </c>
      <c r="F44" s="1">
        <v>0</v>
      </c>
      <c r="G44" s="1">
        <f t="shared" ref="G44:G56" si="5">F44+E44</f>
        <v>0.48333333333333334</v>
      </c>
    </row>
    <row r="45" spans="1:7" x14ac:dyDescent="0.2">
      <c r="A45" s="1" t="s">
        <v>61</v>
      </c>
      <c r="B45" s="3">
        <v>46721</v>
      </c>
      <c r="C45" s="1">
        <v>100</v>
      </c>
      <c r="D45" s="4">
        <v>0.06</v>
      </c>
      <c r="E45" s="5">
        <f t="shared" si="4"/>
        <v>0.51666666666666661</v>
      </c>
      <c r="F45" s="1">
        <v>0</v>
      </c>
      <c r="G45" s="1">
        <f t="shared" si="5"/>
        <v>0.51666666666666661</v>
      </c>
    </row>
    <row r="46" spans="1:7" x14ac:dyDescent="0.2">
      <c r="A46" s="1" t="s">
        <v>61</v>
      </c>
      <c r="B46" s="3">
        <v>46751</v>
      </c>
      <c r="C46" s="1">
        <v>100</v>
      </c>
      <c r="D46" s="4">
        <v>0.06</v>
      </c>
      <c r="E46" s="5">
        <f t="shared" si="4"/>
        <v>0.5</v>
      </c>
      <c r="F46" s="1">
        <v>0</v>
      </c>
      <c r="G46" s="1">
        <f t="shared" si="5"/>
        <v>0.5</v>
      </c>
    </row>
    <row r="47" spans="1:7" x14ac:dyDescent="0.2">
      <c r="A47" s="1" t="s">
        <v>61</v>
      </c>
      <c r="B47" s="3">
        <v>46783</v>
      </c>
      <c r="C47" s="1">
        <v>100</v>
      </c>
      <c r="D47" s="4">
        <v>0.06</v>
      </c>
      <c r="E47" s="5">
        <f t="shared" si="4"/>
        <v>0.5</v>
      </c>
      <c r="F47" s="1">
        <v>0</v>
      </c>
      <c r="G47" s="1">
        <f t="shared" si="5"/>
        <v>0.5</v>
      </c>
    </row>
    <row r="48" spans="1:7" x14ac:dyDescent="0.2">
      <c r="A48" s="1" t="s">
        <v>61</v>
      </c>
      <c r="B48" s="3">
        <v>46812</v>
      </c>
      <c r="C48" s="1">
        <v>100</v>
      </c>
      <c r="D48" s="4">
        <v>0.06</v>
      </c>
      <c r="E48" s="5">
        <f t="shared" si="4"/>
        <v>0.48333333333333334</v>
      </c>
      <c r="F48" s="1">
        <v>0</v>
      </c>
      <c r="G48" s="1">
        <f t="shared" si="5"/>
        <v>0.48333333333333334</v>
      </c>
    </row>
    <row r="49" spans="1:7" x14ac:dyDescent="0.2">
      <c r="A49" s="1" t="s">
        <v>61</v>
      </c>
      <c r="B49" s="3">
        <v>46843</v>
      </c>
      <c r="C49" s="1">
        <v>100</v>
      </c>
      <c r="D49" s="4">
        <v>0.06</v>
      </c>
      <c r="E49" s="5">
        <f t="shared" si="4"/>
        <v>0.5</v>
      </c>
      <c r="F49" s="1">
        <v>0</v>
      </c>
      <c r="G49" s="1">
        <f t="shared" si="5"/>
        <v>0.5</v>
      </c>
    </row>
    <row r="50" spans="1:7" x14ac:dyDescent="0.2">
      <c r="A50" s="1" t="s">
        <v>61</v>
      </c>
      <c r="B50" s="3">
        <v>46871</v>
      </c>
      <c r="C50" s="1">
        <v>100</v>
      </c>
      <c r="D50" s="4">
        <v>0.06</v>
      </c>
      <c r="E50" s="5">
        <f t="shared" si="4"/>
        <v>0.46666666666666667</v>
      </c>
      <c r="F50" s="1">
        <v>0</v>
      </c>
      <c r="G50" s="1">
        <f t="shared" si="5"/>
        <v>0.46666666666666667</v>
      </c>
    </row>
    <row r="51" spans="1:7" x14ac:dyDescent="0.2">
      <c r="A51" s="1" t="s">
        <v>61</v>
      </c>
      <c r="B51" s="3">
        <v>46904</v>
      </c>
      <c r="C51" s="1">
        <v>100</v>
      </c>
      <c r="D51" s="4">
        <v>0.06</v>
      </c>
      <c r="E51" s="5">
        <f t="shared" si="4"/>
        <v>0.55000000000000004</v>
      </c>
      <c r="F51" s="1">
        <v>0</v>
      </c>
      <c r="G51" s="1">
        <f t="shared" si="5"/>
        <v>0.55000000000000004</v>
      </c>
    </row>
    <row r="52" spans="1:7" x14ac:dyDescent="0.2">
      <c r="A52" s="1" t="s">
        <v>61</v>
      </c>
      <c r="B52" s="3">
        <v>46934</v>
      </c>
      <c r="C52" s="1">
        <v>100</v>
      </c>
      <c r="D52" s="4">
        <v>0.06</v>
      </c>
      <c r="E52" s="5">
        <f t="shared" si="4"/>
        <v>0.5</v>
      </c>
      <c r="F52" s="1">
        <v>0</v>
      </c>
      <c r="G52" s="1">
        <f t="shared" si="5"/>
        <v>0.5</v>
      </c>
    </row>
    <row r="53" spans="1:7" x14ac:dyDescent="0.2">
      <c r="A53" s="1" t="s">
        <v>61</v>
      </c>
      <c r="B53" s="3">
        <v>46965</v>
      </c>
      <c r="C53" s="1">
        <v>100</v>
      </c>
      <c r="D53" s="4">
        <v>0.06</v>
      </c>
      <c r="E53" s="5">
        <f t="shared" si="4"/>
        <v>0.5</v>
      </c>
      <c r="F53" s="1">
        <v>0</v>
      </c>
      <c r="G53" s="1">
        <f t="shared" si="5"/>
        <v>0.5</v>
      </c>
    </row>
    <row r="54" spans="1:7" x14ac:dyDescent="0.2">
      <c r="A54" s="1" t="s">
        <v>61</v>
      </c>
      <c r="B54" s="3">
        <v>46996</v>
      </c>
      <c r="C54" s="1">
        <v>100</v>
      </c>
      <c r="D54" s="4">
        <v>0.06</v>
      </c>
      <c r="E54" s="5">
        <f t="shared" si="4"/>
        <v>0.5</v>
      </c>
      <c r="F54" s="1">
        <v>0</v>
      </c>
      <c r="G54" s="1">
        <f t="shared" si="5"/>
        <v>0.5</v>
      </c>
    </row>
    <row r="55" spans="1:7" x14ac:dyDescent="0.2">
      <c r="A55" s="1" t="s">
        <v>61</v>
      </c>
      <c r="B55" s="3">
        <v>47025</v>
      </c>
      <c r="C55" s="1">
        <v>100</v>
      </c>
      <c r="D55" s="4">
        <v>0.06</v>
      </c>
      <c r="E55" s="5">
        <f t="shared" si="4"/>
        <v>0.48333333333333334</v>
      </c>
      <c r="F55" s="1">
        <v>0</v>
      </c>
      <c r="G55" s="1">
        <f t="shared" si="5"/>
        <v>0.48333333333333334</v>
      </c>
    </row>
    <row r="56" spans="1:7" x14ac:dyDescent="0.2">
      <c r="A56" s="1" t="s">
        <v>61</v>
      </c>
      <c r="B56" s="3">
        <v>47057</v>
      </c>
      <c r="C56" s="1">
        <f>C55-F56</f>
        <v>0</v>
      </c>
      <c r="D56" s="4">
        <v>0.06</v>
      </c>
      <c r="E56" s="5">
        <f t="shared" si="4"/>
        <v>0.53333333333333333</v>
      </c>
      <c r="F56" s="1">
        <v>100</v>
      </c>
      <c r="G56" s="1">
        <f t="shared" si="5"/>
        <v>100.53333333333333</v>
      </c>
    </row>
    <row r="58" spans="1:7" x14ac:dyDescent="0.2">
      <c r="A58" s="2" t="s">
        <v>0</v>
      </c>
      <c r="B58" s="2" t="s">
        <v>10</v>
      </c>
      <c r="C58" s="2" t="s">
        <v>11</v>
      </c>
      <c r="D58" s="2" t="s">
        <v>14</v>
      </c>
      <c r="E58" s="2" t="s">
        <v>12</v>
      </c>
      <c r="F58" s="2" t="s">
        <v>13</v>
      </c>
      <c r="G58" s="2" t="s">
        <v>15</v>
      </c>
    </row>
    <row r="59" spans="1:7" x14ac:dyDescent="0.2">
      <c r="A59" s="1" t="s">
        <v>62</v>
      </c>
      <c r="B59" s="3">
        <v>44078</v>
      </c>
      <c r="C59" s="1">
        <v>100</v>
      </c>
      <c r="D59" s="1">
        <v>0</v>
      </c>
      <c r="E59" s="1">
        <v>0</v>
      </c>
      <c r="F59" s="1">
        <v>0</v>
      </c>
      <c r="G59" s="1">
        <f>F59+E59</f>
        <v>0</v>
      </c>
    </row>
    <row r="60" spans="1:7" x14ac:dyDescent="0.2">
      <c r="A60" s="1" t="s">
        <v>62</v>
      </c>
      <c r="B60" s="3">
        <v>44386</v>
      </c>
      <c r="C60" s="1">
        <v>100</v>
      </c>
      <c r="D60" s="4">
        <v>0.01</v>
      </c>
      <c r="E60" s="5">
        <f t="shared" ref="E60" si="6">((D60*C59)/360)*DAYS360(B59,B60)</f>
        <v>0.84722222222222221</v>
      </c>
      <c r="F60" s="1">
        <v>0</v>
      </c>
      <c r="G60" s="1">
        <f t="shared" ref="G60" si="7">F60+E60</f>
        <v>0.84722222222222221</v>
      </c>
    </row>
    <row r="61" spans="1:7" x14ac:dyDescent="0.2">
      <c r="A61" s="1" t="s">
        <v>62</v>
      </c>
      <c r="B61" s="3">
        <v>44570</v>
      </c>
      <c r="C61" s="1">
        <v>100</v>
      </c>
      <c r="D61" s="4">
        <v>0.01</v>
      </c>
      <c r="E61" s="5">
        <f t="shared" ref="E61:E70" si="8">((D61*C60)/360)*DAYS360(B60,B61)</f>
        <v>0.5</v>
      </c>
      <c r="F61" s="1">
        <v>0</v>
      </c>
      <c r="G61" s="1">
        <f t="shared" ref="G61:G70" si="9">F61+E61</f>
        <v>0.5</v>
      </c>
    </row>
    <row r="62" spans="1:7" x14ac:dyDescent="0.2">
      <c r="A62" s="1" t="s">
        <v>62</v>
      </c>
      <c r="B62" s="3">
        <v>44751</v>
      </c>
      <c r="C62" s="1">
        <v>100</v>
      </c>
      <c r="D62" s="4">
        <v>0.01</v>
      </c>
      <c r="E62" s="5">
        <f t="shared" si="8"/>
        <v>0.5</v>
      </c>
      <c r="F62" s="1">
        <v>0</v>
      </c>
      <c r="G62" s="1">
        <f t="shared" si="9"/>
        <v>0.5</v>
      </c>
    </row>
    <row r="63" spans="1:7" x14ac:dyDescent="0.2">
      <c r="A63" s="1" t="s">
        <v>62</v>
      </c>
      <c r="B63" s="3">
        <v>44935</v>
      </c>
      <c r="C63" s="1">
        <v>100</v>
      </c>
      <c r="D63" s="4">
        <v>0.01</v>
      </c>
      <c r="E63" s="5">
        <f t="shared" si="8"/>
        <v>0.5</v>
      </c>
      <c r="F63" s="1">
        <v>0</v>
      </c>
      <c r="G63" s="1">
        <f t="shared" si="9"/>
        <v>0.5</v>
      </c>
    </row>
    <row r="64" spans="1:7" x14ac:dyDescent="0.2">
      <c r="A64" s="1" t="s">
        <v>62</v>
      </c>
      <c r="B64" s="3">
        <v>45116</v>
      </c>
      <c r="C64" s="1">
        <v>100</v>
      </c>
      <c r="D64" s="4">
        <v>0.01</v>
      </c>
      <c r="E64" s="5">
        <f t="shared" si="8"/>
        <v>0.5</v>
      </c>
      <c r="F64" s="1">
        <v>0</v>
      </c>
      <c r="G64" s="1">
        <f t="shared" si="9"/>
        <v>0.5</v>
      </c>
    </row>
    <row r="65" spans="1:7" x14ac:dyDescent="0.2">
      <c r="A65" s="1" t="s">
        <v>62</v>
      </c>
      <c r="B65" s="3">
        <v>45300</v>
      </c>
      <c r="C65" s="1">
        <v>100</v>
      </c>
      <c r="D65" s="4">
        <v>0.01</v>
      </c>
      <c r="E65" s="5">
        <f t="shared" si="8"/>
        <v>0.5</v>
      </c>
      <c r="F65" s="1">
        <v>0</v>
      </c>
      <c r="G65" s="1">
        <f t="shared" si="9"/>
        <v>0.5</v>
      </c>
    </row>
    <row r="66" spans="1:7" x14ac:dyDescent="0.2">
      <c r="A66" s="1" t="s">
        <v>62</v>
      </c>
      <c r="B66" s="3">
        <v>45482</v>
      </c>
      <c r="C66" s="1">
        <v>100</v>
      </c>
      <c r="D66" s="4">
        <v>0.01</v>
      </c>
      <c r="E66" s="5">
        <f t="shared" si="8"/>
        <v>0.5</v>
      </c>
      <c r="F66" s="1">
        <v>0</v>
      </c>
      <c r="G66" s="1">
        <f t="shared" si="9"/>
        <v>0.5</v>
      </c>
    </row>
    <row r="67" spans="1:7" x14ac:dyDescent="0.2">
      <c r="A67" s="1" t="s">
        <v>62</v>
      </c>
      <c r="B67" s="3">
        <v>45666</v>
      </c>
      <c r="C67" s="1">
        <f>C66-F67</f>
        <v>90</v>
      </c>
      <c r="D67" s="4">
        <v>0.01</v>
      </c>
      <c r="E67" s="5">
        <f t="shared" si="8"/>
        <v>0.5</v>
      </c>
      <c r="F67" s="1">
        <v>10</v>
      </c>
      <c r="G67" s="1">
        <f t="shared" si="9"/>
        <v>10.5</v>
      </c>
    </row>
    <row r="68" spans="1:7" x14ac:dyDescent="0.2">
      <c r="A68" s="1" t="s">
        <v>62</v>
      </c>
      <c r="B68" s="3">
        <v>45847</v>
      </c>
      <c r="C68" s="1">
        <f t="shared" ref="C68:C76" si="10">C67-F68</f>
        <v>80</v>
      </c>
      <c r="D68" s="4">
        <v>0.01</v>
      </c>
      <c r="E68" s="5">
        <f t="shared" si="8"/>
        <v>0.45</v>
      </c>
      <c r="F68" s="1">
        <v>10</v>
      </c>
      <c r="G68" s="1">
        <f t="shared" si="9"/>
        <v>10.45</v>
      </c>
    </row>
    <row r="69" spans="1:7" x14ac:dyDescent="0.2">
      <c r="A69" s="1" t="s">
        <v>62</v>
      </c>
      <c r="B69" s="3">
        <v>46031</v>
      </c>
      <c r="C69" s="1">
        <f t="shared" si="10"/>
        <v>70</v>
      </c>
      <c r="D69" s="4">
        <v>0.01</v>
      </c>
      <c r="E69" s="5">
        <f t="shared" si="8"/>
        <v>0.4</v>
      </c>
      <c r="F69" s="1">
        <v>10</v>
      </c>
      <c r="G69" s="1">
        <f t="shared" si="9"/>
        <v>10.4</v>
      </c>
    </row>
    <row r="70" spans="1:7" x14ac:dyDescent="0.2">
      <c r="A70" s="1" t="s">
        <v>62</v>
      </c>
      <c r="B70" s="3">
        <v>46212</v>
      </c>
      <c r="C70" s="1">
        <f t="shared" si="10"/>
        <v>60</v>
      </c>
      <c r="D70" s="4">
        <v>0.01</v>
      </c>
      <c r="E70" s="5">
        <f t="shared" si="8"/>
        <v>0.35000000000000003</v>
      </c>
      <c r="F70" s="1">
        <v>10</v>
      </c>
      <c r="G70" s="1">
        <f t="shared" si="9"/>
        <v>10.35</v>
      </c>
    </row>
    <row r="71" spans="1:7" x14ac:dyDescent="0.2">
      <c r="A71" s="1" t="s">
        <v>62</v>
      </c>
      <c r="B71" s="3">
        <v>46396</v>
      </c>
      <c r="C71" s="1">
        <f t="shared" si="10"/>
        <v>50</v>
      </c>
      <c r="D71" s="4">
        <v>0.01</v>
      </c>
      <c r="E71" s="5">
        <f t="shared" ref="E71:E76" si="11">((D71*C70)/360)*DAYS360(B70,B71)</f>
        <v>0.3</v>
      </c>
      <c r="F71" s="1">
        <v>10</v>
      </c>
      <c r="G71" s="1">
        <f t="shared" ref="G71:G76" si="12">F71+E71</f>
        <v>10.3</v>
      </c>
    </row>
    <row r="72" spans="1:7" x14ac:dyDescent="0.2">
      <c r="A72" s="1" t="s">
        <v>62</v>
      </c>
      <c r="B72" s="3">
        <v>46577</v>
      </c>
      <c r="C72" s="1">
        <f t="shared" si="10"/>
        <v>40</v>
      </c>
      <c r="D72" s="4">
        <v>0.01</v>
      </c>
      <c r="E72" s="5">
        <f t="shared" si="11"/>
        <v>0.25</v>
      </c>
      <c r="F72" s="1">
        <v>10</v>
      </c>
      <c r="G72" s="1">
        <f t="shared" si="12"/>
        <v>10.25</v>
      </c>
    </row>
    <row r="73" spans="1:7" x14ac:dyDescent="0.2">
      <c r="A73" s="1" t="s">
        <v>62</v>
      </c>
      <c r="B73" s="3">
        <v>46761</v>
      </c>
      <c r="C73" s="1">
        <f t="shared" si="10"/>
        <v>30</v>
      </c>
      <c r="D73" s="4">
        <v>0.01</v>
      </c>
      <c r="E73" s="5">
        <f t="shared" si="11"/>
        <v>0.2</v>
      </c>
      <c r="F73" s="1">
        <v>10</v>
      </c>
      <c r="G73" s="1">
        <f t="shared" si="12"/>
        <v>10.199999999999999</v>
      </c>
    </row>
    <row r="74" spans="1:7" x14ac:dyDescent="0.2">
      <c r="A74" s="1" t="s">
        <v>62</v>
      </c>
      <c r="B74" s="3">
        <v>46943</v>
      </c>
      <c r="C74" s="1">
        <f t="shared" si="10"/>
        <v>20</v>
      </c>
      <c r="D74" s="4">
        <v>0.01</v>
      </c>
      <c r="E74" s="5">
        <f t="shared" si="11"/>
        <v>0.15</v>
      </c>
      <c r="F74" s="1">
        <v>10</v>
      </c>
      <c r="G74" s="1">
        <f t="shared" si="12"/>
        <v>10.15</v>
      </c>
    </row>
    <row r="75" spans="1:7" x14ac:dyDescent="0.2">
      <c r="A75" s="1" t="s">
        <v>62</v>
      </c>
      <c r="B75" s="3">
        <v>47127</v>
      </c>
      <c r="C75" s="1">
        <f t="shared" si="10"/>
        <v>10</v>
      </c>
      <c r="D75" s="4">
        <v>0.01</v>
      </c>
      <c r="E75" s="5">
        <f t="shared" si="11"/>
        <v>0.1</v>
      </c>
      <c r="F75" s="1">
        <v>10</v>
      </c>
      <c r="G75" s="1">
        <f t="shared" si="12"/>
        <v>10.1</v>
      </c>
    </row>
    <row r="76" spans="1:7" x14ac:dyDescent="0.2">
      <c r="A76" s="1" t="s">
        <v>62</v>
      </c>
      <c r="B76" s="3">
        <v>47308</v>
      </c>
      <c r="C76" s="1">
        <f t="shared" si="10"/>
        <v>0</v>
      </c>
      <c r="D76" s="4">
        <v>0.01</v>
      </c>
      <c r="E76" s="5">
        <f t="shared" si="11"/>
        <v>0.05</v>
      </c>
      <c r="F76" s="1">
        <v>10</v>
      </c>
      <c r="G76" s="1">
        <f t="shared" si="12"/>
        <v>10.050000000000001</v>
      </c>
    </row>
    <row r="78" spans="1:7" x14ac:dyDescent="0.2">
      <c r="A78" s="2" t="s">
        <v>0</v>
      </c>
      <c r="B78" s="2" t="s">
        <v>10</v>
      </c>
      <c r="C78" s="2" t="s">
        <v>11</v>
      </c>
      <c r="D78" s="2" t="s">
        <v>14</v>
      </c>
      <c r="E78" s="2" t="s">
        <v>12</v>
      </c>
      <c r="F78" s="2" t="s">
        <v>13</v>
      </c>
      <c r="G78" s="2" t="s">
        <v>15</v>
      </c>
    </row>
    <row r="79" spans="1:7" x14ac:dyDescent="0.2">
      <c r="A79" s="1" t="s">
        <v>65</v>
      </c>
      <c r="B79" s="3">
        <v>46003</v>
      </c>
      <c r="C79" s="1">
        <v>100</v>
      </c>
      <c r="D79" s="1">
        <v>0</v>
      </c>
      <c r="E79" s="1">
        <v>0</v>
      </c>
      <c r="F79" s="1">
        <v>0</v>
      </c>
      <c r="G79" s="1">
        <f>F79+E79</f>
        <v>0</v>
      </c>
    </row>
    <row r="80" spans="1:7" x14ac:dyDescent="0.2">
      <c r="A80" s="1" t="s">
        <v>65</v>
      </c>
      <c r="B80" s="3">
        <v>46172</v>
      </c>
      <c r="C80" s="1">
        <v>100</v>
      </c>
      <c r="D80" s="4">
        <v>6.5000000000000002E-2</v>
      </c>
      <c r="E80" s="5">
        <f t="shared" ref="E80" si="13">((D80*C79)/360)*DAYS360(B79,B80)</f>
        <v>3.0333333333333332</v>
      </c>
      <c r="F80" s="1">
        <v>0</v>
      </c>
      <c r="G80" s="1">
        <f t="shared" ref="G80" si="14">F80+E80</f>
        <v>3.0333333333333332</v>
      </c>
    </row>
    <row r="81" spans="1:7" x14ac:dyDescent="0.2">
      <c r="A81" s="1" t="s">
        <v>65</v>
      </c>
      <c r="B81" s="3">
        <v>46356</v>
      </c>
      <c r="C81" s="1">
        <v>100</v>
      </c>
      <c r="D81" s="4">
        <v>6.5000000000000002E-2</v>
      </c>
      <c r="E81" s="5">
        <f t="shared" ref="E81" si="15">((D81*C80)/360)*DAYS360(B80,B81)</f>
        <v>3.2499999999999996</v>
      </c>
      <c r="F81" s="1">
        <v>0</v>
      </c>
      <c r="G81" s="1">
        <f t="shared" ref="G81" si="16">F81+E81</f>
        <v>3.2499999999999996</v>
      </c>
    </row>
    <row r="82" spans="1:7" x14ac:dyDescent="0.2">
      <c r="A82" s="1" t="s">
        <v>65</v>
      </c>
      <c r="B82" s="3">
        <v>46537</v>
      </c>
      <c r="C82" s="1">
        <v>100</v>
      </c>
      <c r="D82" s="4">
        <v>6.5000000000000002E-2</v>
      </c>
      <c r="E82" s="5">
        <f t="shared" ref="E82:E87" si="17">((D82*C81)/360)*DAYS360(B81,B82)</f>
        <v>3.2499999999999996</v>
      </c>
      <c r="F82" s="1">
        <v>0</v>
      </c>
      <c r="G82" s="1">
        <f t="shared" ref="G82:G87" si="18">F82+E82</f>
        <v>3.2499999999999996</v>
      </c>
    </row>
    <row r="83" spans="1:7" x14ac:dyDescent="0.2">
      <c r="A83" s="1" t="s">
        <v>65</v>
      </c>
      <c r="B83" s="3">
        <v>46721</v>
      </c>
      <c r="C83" s="1">
        <v>100</v>
      </c>
      <c r="D83" s="4">
        <v>6.5000000000000002E-2</v>
      </c>
      <c r="E83" s="5">
        <f t="shared" si="17"/>
        <v>3.2499999999999996</v>
      </c>
      <c r="F83" s="1">
        <v>0</v>
      </c>
      <c r="G83" s="1">
        <f t="shared" si="18"/>
        <v>3.2499999999999996</v>
      </c>
    </row>
    <row r="84" spans="1:7" x14ac:dyDescent="0.2">
      <c r="A84" s="1" t="s">
        <v>65</v>
      </c>
      <c r="B84" s="3">
        <v>46903</v>
      </c>
      <c r="C84" s="1">
        <v>100</v>
      </c>
      <c r="D84" s="4">
        <v>6.5000000000000002E-2</v>
      </c>
      <c r="E84" s="5">
        <f t="shared" si="17"/>
        <v>3.2499999999999996</v>
      </c>
      <c r="F84" s="1">
        <v>0</v>
      </c>
      <c r="G84" s="1">
        <f t="shared" si="18"/>
        <v>3.2499999999999996</v>
      </c>
    </row>
    <row r="85" spans="1:7" x14ac:dyDescent="0.2">
      <c r="A85" s="1" t="s">
        <v>65</v>
      </c>
      <c r="B85" s="3">
        <v>47087</v>
      </c>
      <c r="C85" s="1">
        <v>100</v>
      </c>
      <c r="D85" s="4">
        <v>6.5000000000000002E-2</v>
      </c>
      <c r="E85" s="5">
        <f t="shared" si="17"/>
        <v>3.2499999999999996</v>
      </c>
      <c r="F85" s="1">
        <v>0</v>
      </c>
      <c r="G85" s="1">
        <f t="shared" si="18"/>
        <v>3.2499999999999996</v>
      </c>
    </row>
    <row r="86" spans="1:7" x14ac:dyDescent="0.2">
      <c r="A86" s="1" t="s">
        <v>65</v>
      </c>
      <c r="B86" s="3">
        <v>47268</v>
      </c>
      <c r="C86" s="1">
        <v>100</v>
      </c>
      <c r="D86" s="4">
        <v>6.5000000000000002E-2</v>
      </c>
      <c r="E86" s="5">
        <f t="shared" si="17"/>
        <v>3.2499999999999996</v>
      </c>
      <c r="F86" s="1">
        <v>0</v>
      </c>
      <c r="G86" s="1">
        <f t="shared" si="18"/>
        <v>3.2499999999999996</v>
      </c>
    </row>
    <row r="87" spans="1:7" x14ac:dyDescent="0.2">
      <c r="A87" s="1" t="s">
        <v>65</v>
      </c>
      <c r="B87" s="3">
        <v>47452</v>
      </c>
      <c r="C87" s="1">
        <f>C86-F87</f>
        <v>0</v>
      </c>
      <c r="D87" s="4">
        <v>6.5000000000000002E-2</v>
      </c>
      <c r="E87" s="5">
        <f t="shared" si="17"/>
        <v>3.2499999999999996</v>
      </c>
      <c r="F87" s="1">
        <v>100</v>
      </c>
      <c r="G87" s="1">
        <f t="shared" si="18"/>
        <v>103.25</v>
      </c>
    </row>
    <row r="89" spans="1:7" x14ac:dyDescent="0.2">
      <c r="A89" s="2" t="s">
        <v>0</v>
      </c>
      <c r="B89" s="2" t="s">
        <v>10</v>
      </c>
      <c r="C89" s="2" t="s">
        <v>11</v>
      </c>
      <c r="D89" s="2" t="s">
        <v>14</v>
      </c>
      <c r="E89" s="2" t="s">
        <v>12</v>
      </c>
      <c r="F89" s="2" t="s">
        <v>13</v>
      </c>
      <c r="G89" s="2" t="s">
        <v>15</v>
      </c>
    </row>
    <row r="90" spans="1:7" x14ac:dyDescent="0.2">
      <c r="A90" s="1" t="s">
        <v>63</v>
      </c>
      <c r="B90" s="3">
        <v>44078</v>
      </c>
      <c r="C90" s="1">
        <v>100</v>
      </c>
      <c r="D90" s="1">
        <v>0</v>
      </c>
      <c r="E90" s="1">
        <v>0</v>
      </c>
      <c r="F90" s="1">
        <v>0</v>
      </c>
      <c r="G90" s="1">
        <f>F90+E90</f>
        <v>0</v>
      </c>
    </row>
    <row r="91" spans="1:7" x14ac:dyDescent="0.2">
      <c r="A91" s="1" t="s">
        <v>63</v>
      </c>
      <c r="B91" s="3">
        <v>44386</v>
      </c>
      <c r="C91" s="1">
        <v>100</v>
      </c>
      <c r="D91" s="4">
        <v>1.25E-3</v>
      </c>
      <c r="E91" s="5">
        <f t="shared" ref="E91" si="19">((D91*C90)/360)*DAYS360(B90,B91)</f>
        <v>0.10590277777777778</v>
      </c>
      <c r="F91" s="1">
        <v>0</v>
      </c>
      <c r="G91" s="1">
        <f t="shared" ref="G91" si="20">F91+E91</f>
        <v>0.10590277777777778</v>
      </c>
    </row>
    <row r="92" spans="1:7" x14ac:dyDescent="0.2">
      <c r="A92" s="1" t="s">
        <v>63</v>
      </c>
      <c r="B92" s="3">
        <v>44570</v>
      </c>
      <c r="C92" s="1">
        <v>100</v>
      </c>
      <c r="D92" s="4">
        <v>5.0000000000000001E-3</v>
      </c>
      <c r="E92" s="5">
        <f t="shared" ref="E92:E103" si="21">((D92*C91)/360)*DAYS360(B91,B92)</f>
        <v>0.25</v>
      </c>
      <c r="F92" s="1">
        <v>0</v>
      </c>
      <c r="G92" s="1">
        <f t="shared" ref="G92:G103" si="22">F92+E92</f>
        <v>0.25</v>
      </c>
    </row>
    <row r="93" spans="1:7" x14ac:dyDescent="0.2">
      <c r="A93" s="1" t="s">
        <v>63</v>
      </c>
      <c r="B93" s="3">
        <v>44751</v>
      </c>
      <c r="C93" s="1">
        <v>100</v>
      </c>
      <c r="D93" s="4">
        <v>5.0000000000000001E-3</v>
      </c>
      <c r="E93" s="5">
        <f t="shared" si="21"/>
        <v>0.25</v>
      </c>
      <c r="F93" s="1">
        <v>0</v>
      </c>
      <c r="G93" s="1">
        <f t="shared" si="22"/>
        <v>0.25</v>
      </c>
    </row>
    <row r="94" spans="1:7" x14ac:dyDescent="0.2">
      <c r="A94" s="1" t="s">
        <v>63</v>
      </c>
      <c r="B94" s="3">
        <v>44935</v>
      </c>
      <c r="C94" s="1">
        <v>100</v>
      </c>
      <c r="D94" s="4">
        <v>5.0000000000000001E-3</v>
      </c>
      <c r="E94" s="5">
        <f t="shared" si="21"/>
        <v>0.25</v>
      </c>
      <c r="F94" s="1">
        <v>0</v>
      </c>
      <c r="G94" s="1">
        <f t="shared" si="22"/>
        <v>0.25</v>
      </c>
    </row>
    <row r="95" spans="1:7" x14ac:dyDescent="0.2">
      <c r="A95" s="1" t="s">
        <v>63</v>
      </c>
      <c r="B95" s="3">
        <v>45116</v>
      </c>
      <c r="C95" s="1">
        <v>100</v>
      </c>
      <c r="D95" s="4">
        <v>5.0000000000000001E-3</v>
      </c>
      <c r="E95" s="5">
        <f t="shared" si="21"/>
        <v>0.25</v>
      </c>
      <c r="F95" s="1">
        <v>0</v>
      </c>
      <c r="G95" s="1">
        <f t="shared" si="22"/>
        <v>0.25</v>
      </c>
    </row>
    <row r="96" spans="1:7" x14ac:dyDescent="0.2">
      <c r="A96" s="1" t="s">
        <v>63</v>
      </c>
      <c r="B96" s="3">
        <v>45300</v>
      </c>
      <c r="C96" s="1">
        <v>100</v>
      </c>
      <c r="D96" s="4">
        <v>7.4999999999999997E-3</v>
      </c>
      <c r="E96" s="5">
        <f t="shared" si="21"/>
        <v>0.375</v>
      </c>
      <c r="F96" s="1">
        <v>0</v>
      </c>
      <c r="G96" s="1">
        <f t="shared" si="22"/>
        <v>0.375</v>
      </c>
    </row>
    <row r="97" spans="1:7" x14ac:dyDescent="0.2">
      <c r="A97" s="1" t="s">
        <v>63</v>
      </c>
      <c r="B97" s="3">
        <v>45482</v>
      </c>
      <c r="C97" s="1">
        <f>C96-F97</f>
        <v>96</v>
      </c>
      <c r="D97" s="4">
        <v>7.4999999999999997E-3</v>
      </c>
      <c r="E97" s="5">
        <f t="shared" si="21"/>
        <v>0.375</v>
      </c>
      <c r="F97" s="1">
        <v>4</v>
      </c>
      <c r="G97" s="1">
        <f t="shared" si="22"/>
        <v>4.375</v>
      </c>
    </row>
    <row r="98" spans="1:7" x14ac:dyDescent="0.2">
      <c r="A98" s="1" t="s">
        <v>63</v>
      </c>
      <c r="B98" s="3">
        <v>45666</v>
      </c>
      <c r="C98" s="1">
        <f t="shared" ref="C98:C109" si="23">C97-F98</f>
        <v>88</v>
      </c>
      <c r="D98" s="4">
        <v>7.4999999999999997E-3</v>
      </c>
      <c r="E98" s="5">
        <f t="shared" si="21"/>
        <v>0.36</v>
      </c>
      <c r="F98" s="1">
        <v>8</v>
      </c>
      <c r="G98" s="1">
        <f t="shared" si="22"/>
        <v>8.36</v>
      </c>
    </row>
    <row r="99" spans="1:7" x14ac:dyDescent="0.2">
      <c r="A99" s="1" t="s">
        <v>63</v>
      </c>
      <c r="B99" s="3">
        <v>45847</v>
      </c>
      <c r="C99" s="1">
        <f t="shared" si="23"/>
        <v>80</v>
      </c>
      <c r="D99" s="4">
        <v>7.4999999999999997E-3</v>
      </c>
      <c r="E99" s="5">
        <f t="shared" si="21"/>
        <v>0.32999999999999996</v>
      </c>
      <c r="F99" s="1">
        <v>8</v>
      </c>
      <c r="G99" s="1">
        <f t="shared" si="22"/>
        <v>8.33</v>
      </c>
    </row>
    <row r="100" spans="1:7" x14ac:dyDescent="0.2">
      <c r="A100" s="1" t="s">
        <v>63</v>
      </c>
      <c r="B100" s="3">
        <v>46031</v>
      </c>
      <c r="C100" s="1">
        <f t="shared" si="23"/>
        <v>72</v>
      </c>
      <c r="D100" s="4">
        <v>7.4999999999999997E-3</v>
      </c>
      <c r="E100" s="5">
        <f t="shared" si="21"/>
        <v>0.3</v>
      </c>
      <c r="F100" s="1">
        <v>8</v>
      </c>
      <c r="G100" s="1">
        <f t="shared" si="22"/>
        <v>8.3000000000000007</v>
      </c>
    </row>
    <row r="101" spans="1:7" x14ac:dyDescent="0.2">
      <c r="A101" s="1" t="s">
        <v>63</v>
      </c>
      <c r="B101" s="3">
        <v>46212</v>
      </c>
      <c r="C101" s="1">
        <f t="shared" si="23"/>
        <v>64</v>
      </c>
      <c r="D101" s="4">
        <v>7.4999999999999997E-3</v>
      </c>
      <c r="E101" s="5">
        <f t="shared" si="21"/>
        <v>0.27</v>
      </c>
      <c r="F101" s="1">
        <v>8</v>
      </c>
      <c r="G101" s="1">
        <f t="shared" si="22"/>
        <v>8.27</v>
      </c>
    </row>
    <row r="102" spans="1:7" x14ac:dyDescent="0.2">
      <c r="A102" s="1" t="s">
        <v>63</v>
      </c>
      <c r="B102" s="3">
        <v>46396</v>
      </c>
      <c r="C102" s="1">
        <f t="shared" si="23"/>
        <v>56</v>
      </c>
      <c r="D102" s="4">
        <v>7.4999999999999997E-3</v>
      </c>
      <c r="E102" s="5">
        <f t="shared" si="21"/>
        <v>0.24</v>
      </c>
      <c r="F102" s="1">
        <v>8</v>
      </c>
      <c r="G102" s="1">
        <f t="shared" si="22"/>
        <v>8.24</v>
      </c>
    </row>
    <row r="103" spans="1:7" x14ac:dyDescent="0.2">
      <c r="A103" s="1" t="s">
        <v>63</v>
      </c>
      <c r="B103" s="3">
        <v>46577</v>
      </c>
      <c r="C103" s="1">
        <f t="shared" si="23"/>
        <v>48</v>
      </c>
      <c r="D103" s="4">
        <v>7.4999999999999997E-3</v>
      </c>
      <c r="E103" s="5">
        <f t="shared" si="21"/>
        <v>0.20999999999999996</v>
      </c>
      <c r="F103" s="1">
        <v>8</v>
      </c>
      <c r="G103" s="1">
        <f t="shared" si="22"/>
        <v>8.2100000000000009</v>
      </c>
    </row>
    <row r="104" spans="1:7" x14ac:dyDescent="0.2">
      <c r="A104" s="1" t="s">
        <v>63</v>
      </c>
      <c r="B104" s="3">
        <v>46761</v>
      </c>
      <c r="C104" s="1">
        <f t="shared" si="23"/>
        <v>40</v>
      </c>
      <c r="D104" s="4">
        <v>1.7500000000000002E-2</v>
      </c>
      <c r="E104" s="5">
        <f t="shared" ref="E104:E109" si="24">((D104*C103)/360)*DAYS360(B103,B104)</f>
        <v>0.42000000000000004</v>
      </c>
      <c r="F104" s="1">
        <v>8</v>
      </c>
      <c r="G104" s="1">
        <f t="shared" ref="G104:G109" si="25">F104+E104</f>
        <v>8.42</v>
      </c>
    </row>
    <row r="105" spans="1:7" x14ac:dyDescent="0.2">
      <c r="A105" s="1" t="s">
        <v>63</v>
      </c>
      <c r="B105" s="3">
        <v>46943</v>
      </c>
      <c r="C105" s="1">
        <f t="shared" si="23"/>
        <v>32</v>
      </c>
      <c r="D105" s="4">
        <v>1.7500000000000002E-2</v>
      </c>
      <c r="E105" s="5">
        <f t="shared" si="24"/>
        <v>0.35000000000000003</v>
      </c>
      <c r="F105" s="1">
        <v>8</v>
      </c>
      <c r="G105" s="1">
        <f t="shared" si="25"/>
        <v>8.35</v>
      </c>
    </row>
    <row r="106" spans="1:7" x14ac:dyDescent="0.2">
      <c r="A106" s="1" t="s">
        <v>63</v>
      </c>
      <c r="B106" s="3">
        <v>47127</v>
      </c>
      <c r="C106" s="1">
        <f t="shared" si="23"/>
        <v>24</v>
      </c>
      <c r="D106" s="4">
        <v>1.7500000000000002E-2</v>
      </c>
      <c r="E106" s="5">
        <f t="shared" si="24"/>
        <v>0.28000000000000003</v>
      </c>
      <c r="F106" s="1">
        <v>8</v>
      </c>
      <c r="G106" s="1">
        <f t="shared" si="25"/>
        <v>8.2799999999999994</v>
      </c>
    </row>
    <row r="107" spans="1:7" x14ac:dyDescent="0.2">
      <c r="A107" s="1" t="s">
        <v>63</v>
      </c>
      <c r="B107" s="3">
        <v>47308</v>
      </c>
      <c r="C107" s="1">
        <f t="shared" si="23"/>
        <v>16</v>
      </c>
      <c r="D107" s="4">
        <v>1.7500000000000002E-2</v>
      </c>
      <c r="E107" s="5">
        <f t="shared" si="24"/>
        <v>0.21000000000000002</v>
      </c>
      <c r="F107" s="1">
        <v>8</v>
      </c>
      <c r="G107" s="1">
        <f t="shared" si="25"/>
        <v>8.2100000000000009</v>
      </c>
    </row>
    <row r="108" spans="1:7" x14ac:dyDescent="0.2">
      <c r="A108" s="1" t="s">
        <v>63</v>
      </c>
      <c r="B108" s="3">
        <v>47492</v>
      </c>
      <c r="C108" s="1">
        <f t="shared" si="23"/>
        <v>8</v>
      </c>
      <c r="D108" s="4">
        <v>1.7500000000000002E-2</v>
      </c>
      <c r="E108" s="5">
        <f t="shared" si="24"/>
        <v>0.14000000000000001</v>
      </c>
      <c r="F108" s="1">
        <v>8</v>
      </c>
      <c r="G108" s="1">
        <f t="shared" si="25"/>
        <v>8.14</v>
      </c>
    </row>
    <row r="109" spans="1:7" x14ac:dyDescent="0.2">
      <c r="A109" s="1" t="s">
        <v>63</v>
      </c>
      <c r="B109" s="3">
        <v>47673</v>
      </c>
      <c r="C109" s="1">
        <f t="shared" si="23"/>
        <v>0</v>
      </c>
      <c r="D109" s="4">
        <v>1.7500000000000002E-2</v>
      </c>
      <c r="E109" s="5">
        <f t="shared" si="24"/>
        <v>7.0000000000000007E-2</v>
      </c>
      <c r="F109" s="1">
        <v>8</v>
      </c>
      <c r="G109" s="1">
        <f t="shared" si="25"/>
        <v>8.07</v>
      </c>
    </row>
    <row r="111" spans="1:7" x14ac:dyDescent="0.2">
      <c r="A111" s="2" t="s">
        <v>0</v>
      </c>
      <c r="B111" s="2" t="s">
        <v>10</v>
      </c>
      <c r="C111" s="2" t="s">
        <v>11</v>
      </c>
      <c r="D111" s="2" t="s">
        <v>14</v>
      </c>
      <c r="E111" s="2" t="s">
        <v>12</v>
      </c>
      <c r="F111" s="2" t="s">
        <v>13</v>
      </c>
      <c r="G111" s="2" t="s">
        <v>15</v>
      </c>
    </row>
    <row r="112" spans="1:7" x14ac:dyDescent="0.2">
      <c r="A112" s="1" t="s">
        <v>64</v>
      </c>
      <c r="B112" s="3">
        <v>44078</v>
      </c>
      <c r="C112" s="1">
        <v>100</v>
      </c>
      <c r="D112" s="1">
        <v>0</v>
      </c>
      <c r="E112" s="1">
        <v>0</v>
      </c>
      <c r="F112" s="1">
        <v>0</v>
      </c>
      <c r="G112" s="1">
        <f>F112+E112</f>
        <v>0</v>
      </c>
    </row>
    <row r="113" spans="1:7" x14ac:dyDescent="0.2">
      <c r="A113" s="1" t="s">
        <v>64</v>
      </c>
      <c r="B113" s="3">
        <v>44386</v>
      </c>
      <c r="C113" s="1">
        <v>100</v>
      </c>
      <c r="D113" s="4">
        <v>1.25E-3</v>
      </c>
      <c r="E113" s="5">
        <f t="shared" ref="E113:E117" si="26">((D113*C112)/360)*DAYS360(B112,B113)</f>
        <v>0.10590277777777778</v>
      </c>
      <c r="F113" s="1">
        <v>0</v>
      </c>
      <c r="G113" s="1">
        <f t="shared" ref="G113:G117" si="27">F113+E113</f>
        <v>0.10590277777777778</v>
      </c>
    </row>
    <row r="114" spans="1:7" x14ac:dyDescent="0.2">
      <c r="A114" s="1" t="s">
        <v>64</v>
      </c>
      <c r="B114" s="3">
        <v>44570</v>
      </c>
      <c r="C114" s="1">
        <v>100</v>
      </c>
      <c r="D114" s="4">
        <v>1.125E-2</v>
      </c>
      <c r="E114" s="5">
        <f t="shared" si="26"/>
        <v>0.5625</v>
      </c>
      <c r="F114" s="1">
        <v>0</v>
      </c>
      <c r="G114" s="1">
        <f t="shared" si="27"/>
        <v>0.5625</v>
      </c>
    </row>
    <row r="115" spans="1:7" x14ac:dyDescent="0.2">
      <c r="A115" s="1" t="s">
        <v>64</v>
      </c>
      <c r="B115" s="3">
        <v>44751</v>
      </c>
      <c r="C115" s="1">
        <v>100</v>
      </c>
      <c r="D115" s="4">
        <v>1.125E-2</v>
      </c>
      <c r="E115" s="5">
        <f t="shared" si="26"/>
        <v>0.5625</v>
      </c>
      <c r="F115" s="1">
        <v>0</v>
      </c>
      <c r="G115" s="1">
        <f t="shared" si="27"/>
        <v>0.5625</v>
      </c>
    </row>
    <row r="116" spans="1:7" x14ac:dyDescent="0.2">
      <c r="A116" s="1" t="s">
        <v>64</v>
      </c>
      <c r="B116" s="3">
        <v>44935</v>
      </c>
      <c r="C116" s="1">
        <v>100</v>
      </c>
      <c r="D116" s="4">
        <v>1.4999999999999999E-2</v>
      </c>
      <c r="E116" s="5">
        <f t="shared" si="26"/>
        <v>0.75</v>
      </c>
      <c r="F116" s="1">
        <v>0</v>
      </c>
      <c r="G116" s="1">
        <f t="shared" si="27"/>
        <v>0.75</v>
      </c>
    </row>
    <row r="117" spans="1:7" x14ac:dyDescent="0.2">
      <c r="A117" s="1" t="s">
        <v>64</v>
      </c>
      <c r="B117" s="3">
        <v>45116</v>
      </c>
      <c r="C117" s="1">
        <v>100</v>
      </c>
      <c r="D117" s="4">
        <v>1.4999999999999999E-2</v>
      </c>
      <c r="E117" s="5">
        <f t="shared" si="26"/>
        <v>0.75</v>
      </c>
      <c r="F117" s="1">
        <v>0</v>
      </c>
      <c r="G117" s="1">
        <f t="shared" si="27"/>
        <v>0.75</v>
      </c>
    </row>
    <row r="118" spans="1:7" x14ac:dyDescent="0.2">
      <c r="A118" s="1" t="s">
        <v>64</v>
      </c>
      <c r="B118" s="3">
        <v>45300</v>
      </c>
      <c r="C118" s="1">
        <v>100</v>
      </c>
      <c r="D118" s="4">
        <v>3.6249999999999998E-2</v>
      </c>
      <c r="E118" s="5">
        <f t="shared" ref="E118:E128" si="28">((D118*C117)/360)*DAYS360(B117,B118)</f>
        <v>1.8124999999999998</v>
      </c>
      <c r="F118" s="1">
        <v>0</v>
      </c>
      <c r="G118" s="1">
        <f t="shared" ref="G118:G128" si="29">F118+E118</f>
        <v>1.8124999999999998</v>
      </c>
    </row>
    <row r="119" spans="1:7" x14ac:dyDescent="0.2">
      <c r="A119" s="1" t="s">
        <v>64</v>
      </c>
      <c r="B119" s="3">
        <v>45482</v>
      </c>
      <c r="C119" s="1">
        <v>100</v>
      </c>
      <c r="D119" s="4">
        <v>3.6249999999999998E-2</v>
      </c>
      <c r="E119" s="5">
        <f t="shared" si="28"/>
        <v>1.8124999999999998</v>
      </c>
      <c r="F119" s="1">
        <v>0</v>
      </c>
      <c r="G119" s="1">
        <f t="shared" si="29"/>
        <v>1.8124999999999998</v>
      </c>
    </row>
    <row r="120" spans="1:7" x14ac:dyDescent="0.2">
      <c r="A120" s="1" t="s">
        <v>64</v>
      </c>
      <c r="B120" s="3">
        <v>45666</v>
      </c>
      <c r="C120" s="1">
        <v>100</v>
      </c>
      <c r="D120" s="4">
        <v>4.1250000000000002E-2</v>
      </c>
      <c r="E120" s="5">
        <f t="shared" si="28"/>
        <v>2.0625</v>
      </c>
      <c r="F120" s="1">
        <v>0</v>
      </c>
      <c r="G120" s="1">
        <f t="shared" si="29"/>
        <v>2.0625</v>
      </c>
    </row>
    <row r="121" spans="1:7" x14ac:dyDescent="0.2">
      <c r="A121" s="1" t="s">
        <v>64</v>
      </c>
      <c r="B121" s="3">
        <v>45847</v>
      </c>
      <c r="C121" s="1">
        <v>100</v>
      </c>
      <c r="D121" s="4">
        <v>4.1250000000000002E-2</v>
      </c>
      <c r="E121" s="5">
        <f t="shared" si="28"/>
        <v>2.0625</v>
      </c>
      <c r="F121" s="1">
        <v>0</v>
      </c>
      <c r="G121" s="1">
        <f t="shared" si="29"/>
        <v>2.0625</v>
      </c>
    </row>
    <row r="122" spans="1:7" x14ac:dyDescent="0.2">
      <c r="A122" s="1" t="s">
        <v>64</v>
      </c>
      <c r="B122" s="3">
        <v>46031</v>
      </c>
      <c r="C122" s="1">
        <v>100</v>
      </c>
      <c r="D122" s="4">
        <v>4.1250000000000002E-2</v>
      </c>
      <c r="E122" s="5">
        <f t="shared" si="28"/>
        <v>2.0625</v>
      </c>
      <c r="F122" s="1">
        <v>0</v>
      </c>
      <c r="G122" s="1">
        <f t="shared" si="29"/>
        <v>2.0625</v>
      </c>
    </row>
    <row r="123" spans="1:7" x14ac:dyDescent="0.2">
      <c r="A123" s="1" t="s">
        <v>64</v>
      </c>
      <c r="B123" s="3">
        <v>46212</v>
      </c>
      <c r="C123" s="1">
        <v>100</v>
      </c>
      <c r="D123" s="4">
        <v>4.1250000000000002E-2</v>
      </c>
      <c r="E123" s="5">
        <f t="shared" si="28"/>
        <v>2.0625</v>
      </c>
      <c r="F123" s="1">
        <v>0</v>
      </c>
      <c r="G123" s="1">
        <f t="shared" si="29"/>
        <v>2.0625</v>
      </c>
    </row>
    <row r="124" spans="1:7" x14ac:dyDescent="0.2">
      <c r="A124" s="1" t="s">
        <v>64</v>
      </c>
      <c r="B124" s="3">
        <v>46396</v>
      </c>
      <c r="C124" s="1">
        <v>100</v>
      </c>
      <c r="D124" s="4">
        <v>4.1250000000000002E-2</v>
      </c>
      <c r="E124" s="5">
        <f t="shared" si="28"/>
        <v>2.0625</v>
      </c>
      <c r="F124" s="1">
        <v>0</v>
      </c>
      <c r="G124" s="1">
        <f t="shared" si="29"/>
        <v>2.0625</v>
      </c>
    </row>
    <row r="125" spans="1:7" x14ac:dyDescent="0.2">
      <c r="A125" s="1" t="s">
        <v>64</v>
      </c>
      <c r="B125" s="3">
        <v>46577</v>
      </c>
      <c r="C125" s="1">
        <v>100</v>
      </c>
      <c r="D125" s="4">
        <v>4.1250000000000002E-2</v>
      </c>
      <c r="E125" s="5">
        <f t="shared" si="28"/>
        <v>2.0625</v>
      </c>
      <c r="F125" s="1">
        <v>0</v>
      </c>
      <c r="G125" s="1">
        <f t="shared" si="29"/>
        <v>2.0625</v>
      </c>
    </row>
    <row r="126" spans="1:7" x14ac:dyDescent="0.2">
      <c r="A126" s="1" t="s">
        <v>64</v>
      </c>
      <c r="B126" s="3">
        <v>46761</v>
      </c>
      <c r="C126" s="1">
        <v>100</v>
      </c>
      <c r="D126" s="4">
        <v>4.7500000000000001E-2</v>
      </c>
      <c r="E126" s="5">
        <f t="shared" si="28"/>
        <v>2.375</v>
      </c>
      <c r="F126" s="1">
        <v>0</v>
      </c>
      <c r="G126" s="1">
        <f t="shared" si="29"/>
        <v>2.375</v>
      </c>
    </row>
    <row r="127" spans="1:7" x14ac:dyDescent="0.2">
      <c r="A127" s="1" t="s">
        <v>64</v>
      </c>
      <c r="B127" s="3">
        <v>46943</v>
      </c>
      <c r="C127" s="1">
        <v>100</v>
      </c>
      <c r="D127" s="4">
        <v>4.7500000000000001E-2</v>
      </c>
      <c r="E127" s="5">
        <f t="shared" si="28"/>
        <v>2.375</v>
      </c>
      <c r="F127" s="1">
        <v>0</v>
      </c>
      <c r="G127" s="1">
        <f t="shared" si="29"/>
        <v>2.375</v>
      </c>
    </row>
    <row r="128" spans="1:7" x14ac:dyDescent="0.2">
      <c r="A128" s="1" t="s">
        <v>64</v>
      </c>
      <c r="B128" s="3">
        <v>47127</v>
      </c>
      <c r="C128" s="1">
        <v>100</v>
      </c>
      <c r="D128" s="4">
        <v>0.05</v>
      </c>
      <c r="E128" s="5">
        <f t="shared" si="28"/>
        <v>2.5</v>
      </c>
      <c r="F128" s="1">
        <v>0</v>
      </c>
      <c r="G128" s="1">
        <f t="shared" si="29"/>
        <v>2.5</v>
      </c>
    </row>
    <row r="129" spans="1:7" x14ac:dyDescent="0.2">
      <c r="A129" s="1" t="s">
        <v>64</v>
      </c>
      <c r="B129" s="3">
        <v>47308</v>
      </c>
      <c r="C129" s="1">
        <v>100</v>
      </c>
      <c r="D129" s="4">
        <v>0.05</v>
      </c>
      <c r="E129" s="5">
        <f t="shared" ref="E129:E141" si="30">((D129*C128)/360)*DAYS360(B128,B129)</f>
        <v>2.5</v>
      </c>
      <c r="F129" s="1">
        <v>0</v>
      </c>
      <c r="G129" s="1">
        <f t="shared" ref="G129:G141" si="31">F129+E129</f>
        <v>2.5</v>
      </c>
    </row>
    <row r="130" spans="1:7" x14ac:dyDescent="0.2">
      <c r="A130" s="1" t="s">
        <v>64</v>
      </c>
      <c r="B130" s="3">
        <v>47492</v>
      </c>
      <c r="C130" s="1">
        <v>100</v>
      </c>
      <c r="D130" s="4">
        <v>0.05</v>
      </c>
      <c r="E130" s="5">
        <f t="shared" si="30"/>
        <v>2.5</v>
      </c>
      <c r="F130" s="1">
        <v>0</v>
      </c>
      <c r="G130" s="1">
        <f t="shared" si="31"/>
        <v>2.5</v>
      </c>
    </row>
    <row r="131" spans="1:7" x14ac:dyDescent="0.2">
      <c r="A131" s="1" t="s">
        <v>64</v>
      </c>
      <c r="B131" s="3">
        <v>47673</v>
      </c>
      <c r="C131" s="1">
        <v>100</v>
      </c>
      <c r="D131" s="4">
        <v>0.05</v>
      </c>
      <c r="E131" s="5">
        <f t="shared" si="30"/>
        <v>2.5</v>
      </c>
      <c r="F131" s="1">
        <v>0</v>
      </c>
      <c r="G131" s="1">
        <f t="shared" si="31"/>
        <v>2.5</v>
      </c>
    </row>
    <row r="132" spans="1:7" x14ac:dyDescent="0.2">
      <c r="A132" s="1" t="s">
        <v>64</v>
      </c>
      <c r="B132" s="3">
        <v>47857</v>
      </c>
      <c r="C132" s="1">
        <f>C131-F132</f>
        <v>90</v>
      </c>
      <c r="D132" s="4">
        <v>0.05</v>
      </c>
      <c r="E132" s="5">
        <f t="shared" si="30"/>
        <v>2.5</v>
      </c>
      <c r="F132" s="1">
        <v>10</v>
      </c>
      <c r="G132" s="1">
        <f t="shared" si="31"/>
        <v>12.5</v>
      </c>
    </row>
    <row r="133" spans="1:7" x14ac:dyDescent="0.2">
      <c r="A133" s="1" t="s">
        <v>64</v>
      </c>
      <c r="B133" s="3">
        <v>48038</v>
      </c>
      <c r="C133" s="1">
        <f t="shared" ref="C133:C141" si="32">C132-F133</f>
        <v>80</v>
      </c>
      <c r="D133" s="4">
        <v>0.05</v>
      </c>
      <c r="E133" s="5">
        <f t="shared" si="30"/>
        <v>2.25</v>
      </c>
      <c r="F133" s="1">
        <v>10</v>
      </c>
      <c r="G133" s="1">
        <f t="shared" si="31"/>
        <v>12.25</v>
      </c>
    </row>
    <row r="134" spans="1:7" x14ac:dyDescent="0.2">
      <c r="A134" s="1" t="s">
        <v>64</v>
      </c>
      <c r="B134" s="3">
        <v>48222</v>
      </c>
      <c r="C134" s="1">
        <f t="shared" si="32"/>
        <v>70</v>
      </c>
      <c r="D134" s="4">
        <v>0.05</v>
      </c>
      <c r="E134" s="5">
        <f t="shared" si="30"/>
        <v>2</v>
      </c>
      <c r="F134" s="1">
        <v>10</v>
      </c>
      <c r="G134" s="1">
        <f t="shared" si="31"/>
        <v>12</v>
      </c>
    </row>
    <row r="135" spans="1:7" x14ac:dyDescent="0.2">
      <c r="A135" s="1" t="s">
        <v>64</v>
      </c>
      <c r="B135" s="3">
        <v>48404</v>
      </c>
      <c r="C135" s="1">
        <f t="shared" si="32"/>
        <v>60</v>
      </c>
      <c r="D135" s="4">
        <v>0.05</v>
      </c>
      <c r="E135" s="5">
        <f t="shared" si="30"/>
        <v>1.75</v>
      </c>
      <c r="F135" s="1">
        <v>10</v>
      </c>
      <c r="G135" s="1">
        <f t="shared" si="31"/>
        <v>11.75</v>
      </c>
    </row>
    <row r="136" spans="1:7" x14ac:dyDescent="0.2">
      <c r="A136" s="1" t="s">
        <v>64</v>
      </c>
      <c r="B136" s="3">
        <v>48588</v>
      </c>
      <c r="C136" s="1">
        <f t="shared" si="32"/>
        <v>50</v>
      </c>
      <c r="D136" s="4">
        <v>0.05</v>
      </c>
      <c r="E136" s="5">
        <f t="shared" si="30"/>
        <v>1.5</v>
      </c>
      <c r="F136" s="1">
        <v>10</v>
      </c>
      <c r="G136" s="1">
        <f t="shared" si="31"/>
        <v>11.5</v>
      </c>
    </row>
    <row r="137" spans="1:7" x14ac:dyDescent="0.2">
      <c r="A137" s="1" t="s">
        <v>64</v>
      </c>
      <c r="B137" s="3">
        <v>48769</v>
      </c>
      <c r="C137" s="1">
        <f t="shared" si="32"/>
        <v>40</v>
      </c>
      <c r="D137" s="4">
        <v>0.05</v>
      </c>
      <c r="E137" s="5">
        <f t="shared" si="30"/>
        <v>1.25</v>
      </c>
      <c r="F137" s="1">
        <v>10</v>
      </c>
      <c r="G137" s="1">
        <f t="shared" si="31"/>
        <v>11.25</v>
      </c>
    </row>
    <row r="138" spans="1:7" x14ac:dyDescent="0.2">
      <c r="A138" s="1" t="s">
        <v>64</v>
      </c>
      <c r="B138" s="3">
        <v>48953</v>
      </c>
      <c r="C138" s="1">
        <f t="shared" si="32"/>
        <v>30</v>
      </c>
      <c r="D138" s="4">
        <v>0.05</v>
      </c>
      <c r="E138" s="5">
        <f t="shared" si="30"/>
        <v>1</v>
      </c>
      <c r="F138" s="1">
        <v>10</v>
      </c>
      <c r="G138" s="1">
        <f t="shared" si="31"/>
        <v>11</v>
      </c>
    </row>
    <row r="139" spans="1:7" x14ac:dyDescent="0.2">
      <c r="A139" s="1" t="s">
        <v>64</v>
      </c>
      <c r="B139" s="3">
        <v>49134</v>
      </c>
      <c r="C139" s="1">
        <f t="shared" si="32"/>
        <v>20</v>
      </c>
      <c r="D139" s="4">
        <v>0.05</v>
      </c>
      <c r="E139" s="5">
        <f t="shared" si="30"/>
        <v>0.75</v>
      </c>
      <c r="F139" s="1">
        <v>10</v>
      </c>
      <c r="G139" s="1">
        <f t="shared" si="31"/>
        <v>10.75</v>
      </c>
    </row>
    <row r="140" spans="1:7" x14ac:dyDescent="0.2">
      <c r="A140" s="1" t="s">
        <v>64</v>
      </c>
      <c r="B140" s="3">
        <v>49318</v>
      </c>
      <c r="C140" s="1">
        <f t="shared" si="32"/>
        <v>10</v>
      </c>
      <c r="D140" s="4">
        <v>0.05</v>
      </c>
      <c r="E140" s="5">
        <f t="shared" si="30"/>
        <v>0.5</v>
      </c>
      <c r="F140" s="1">
        <v>10</v>
      </c>
      <c r="G140" s="1">
        <f t="shared" si="31"/>
        <v>10.5</v>
      </c>
    </row>
    <row r="141" spans="1:7" x14ac:dyDescent="0.2">
      <c r="A141" s="1" t="s">
        <v>64</v>
      </c>
      <c r="B141" s="3">
        <v>49499</v>
      </c>
      <c r="C141" s="1">
        <f t="shared" si="32"/>
        <v>0</v>
      </c>
      <c r="D141" s="4">
        <v>0.05</v>
      </c>
      <c r="E141" s="5">
        <f t="shared" si="30"/>
        <v>0.25</v>
      </c>
      <c r="F141" s="1">
        <v>10</v>
      </c>
      <c r="G141" s="1">
        <f t="shared" si="31"/>
        <v>10.25</v>
      </c>
    </row>
    <row r="142" spans="1:7" x14ac:dyDescent="0.2">
      <c r="A142" s="1"/>
      <c r="B142" s="3"/>
      <c r="C142" s="1"/>
      <c r="D142" s="4"/>
      <c r="E142" s="5"/>
      <c r="F142" s="1"/>
      <c r="G142" s="1"/>
    </row>
    <row r="143" spans="1:7" x14ac:dyDescent="0.2">
      <c r="A143" s="2" t="s">
        <v>0</v>
      </c>
      <c r="B143" s="2" t="s">
        <v>10</v>
      </c>
      <c r="C143" s="2" t="s">
        <v>11</v>
      </c>
      <c r="D143" s="2" t="s">
        <v>14</v>
      </c>
      <c r="E143" s="2" t="s">
        <v>12</v>
      </c>
      <c r="F143" s="2" t="s">
        <v>13</v>
      </c>
      <c r="G143" s="2" t="s">
        <v>15</v>
      </c>
    </row>
    <row r="144" spans="1:7" x14ac:dyDescent="0.2">
      <c r="A144" s="1" t="s">
        <v>67</v>
      </c>
      <c r="B144" s="3">
        <v>44078</v>
      </c>
      <c r="C144" s="1">
        <v>100</v>
      </c>
      <c r="D144" s="1">
        <v>0</v>
      </c>
      <c r="E144" s="1">
        <v>0</v>
      </c>
      <c r="F144" s="1">
        <v>0</v>
      </c>
      <c r="G144" s="1">
        <f>F144+E144</f>
        <v>0</v>
      </c>
    </row>
    <row r="145" spans="1:7" x14ac:dyDescent="0.2">
      <c r="A145" s="1" t="s">
        <v>67</v>
      </c>
      <c r="B145" s="3">
        <v>44386</v>
      </c>
      <c r="C145" s="1">
        <v>100</v>
      </c>
      <c r="D145" s="4">
        <v>1.25E-3</v>
      </c>
      <c r="E145" s="5">
        <f t="shared" ref="E145:E173" si="33">((D145*C144)/360)*DAYS360(B144,B145)</f>
        <v>0.10590277777777778</v>
      </c>
      <c r="F145" s="1">
        <v>0</v>
      </c>
      <c r="G145" s="1">
        <f t="shared" ref="G145:G173" si="34">F145+E145</f>
        <v>0.10590277777777778</v>
      </c>
    </row>
    <row r="146" spans="1:7" x14ac:dyDescent="0.2">
      <c r="A146" s="1" t="s">
        <v>67</v>
      </c>
      <c r="B146" s="3">
        <v>44570</v>
      </c>
      <c r="C146" s="1">
        <v>100</v>
      </c>
      <c r="D146" s="4">
        <v>1.125E-2</v>
      </c>
      <c r="E146" s="5">
        <f t="shared" si="33"/>
        <v>0.5625</v>
      </c>
      <c r="F146" s="1">
        <v>0</v>
      </c>
      <c r="G146" s="1">
        <f t="shared" si="34"/>
        <v>0.5625</v>
      </c>
    </row>
    <row r="147" spans="1:7" x14ac:dyDescent="0.2">
      <c r="A147" s="1" t="s">
        <v>67</v>
      </c>
      <c r="B147" s="3">
        <v>44751</v>
      </c>
      <c r="C147" s="1">
        <v>100</v>
      </c>
      <c r="D147" s="4">
        <v>1.125E-2</v>
      </c>
      <c r="E147" s="5">
        <f t="shared" si="33"/>
        <v>0.5625</v>
      </c>
      <c r="F147" s="1">
        <v>0</v>
      </c>
      <c r="G147" s="1">
        <f t="shared" si="34"/>
        <v>0.5625</v>
      </c>
    </row>
    <row r="148" spans="1:7" x14ac:dyDescent="0.2">
      <c r="A148" s="1" t="s">
        <v>67</v>
      </c>
      <c r="B148" s="3">
        <v>44935</v>
      </c>
      <c r="C148" s="1">
        <v>100</v>
      </c>
      <c r="D148" s="4">
        <v>1.4999999999999999E-2</v>
      </c>
      <c r="E148" s="5">
        <f t="shared" si="33"/>
        <v>0.75</v>
      </c>
      <c r="F148" s="1">
        <v>0</v>
      </c>
      <c r="G148" s="1">
        <f t="shared" si="34"/>
        <v>0.75</v>
      </c>
    </row>
    <row r="149" spans="1:7" x14ac:dyDescent="0.2">
      <c r="A149" s="1" t="s">
        <v>67</v>
      </c>
      <c r="B149" s="3">
        <v>45116</v>
      </c>
      <c r="C149" s="1">
        <v>100</v>
      </c>
      <c r="D149" s="4">
        <v>1.4999999999999999E-2</v>
      </c>
      <c r="E149" s="5">
        <f t="shared" si="33"/>
        <v>0.75</v>
      </c>
      <c r="F149" s="1">
        <v>0</v>
      </c>
      <c r="G149" s="1">
        <f t="shared" si="34"/>
        <v>0.75</v>
      </c>
    </row>
    <row r="150" spans="1:7" x14ac:dyDescent="0.2">
      <c r="A150" s="1" t="s">
        <v>67</v>
      </c>
      <c r="B150" s="3">
        <v>45300</v>
      </c>
      <c r="C150" s="1">
        <v>100</v>
      </c>
      <c r="D150" s="4">
        <v>3.6249999999999998E-2</v>
      </c>
      <c r="E150" s="5">
        <f t="shared" si="33"/>
        <v>1.8124999999999998</v>
      </c>
      <c r="F150" s="1">
        <v>0</v>
      </c>
      <c r="G150" s="1">
        <f t="shared" si="34"/>
        <v>1.8124999999999998</v>
      </c>
    </row>
    <row r="151" spans="1:7" x14ac:dyDescent="0.2">
      <c r="A151" s="1" t="s">
        <v>67</v>
      </c>
      <c r="B151" s="3">
        <v>45482</v>
      </c>
      <c r="C151" s="1">
        <v>100</v>
      </c>
      <c r="D151" s="4">
        <v>3.6249999999999998E-2</v>
      </c>
      <c r="E151" s="5">
        <f t="shared" si="33"/>
        <v>1.8124999999999998</v>
      </c>
      <c r="F151" s="1">
        <v>0</v>
      </c>
      <c r="G151" s="1">
        <f t="shared" si="34"/>
        <v>1.8124999999999998</v>
      </c>
    </row>
    <row r="152" spans="1:7" x14ac:dyDescent="0.2">
      <c r="A152" s="1" t="s">
        <v>67</v>
      </c>
      <c r="B152" s="3">
        <v>45666</v>
      </c>
      <c r="C152" s="1">
        <v>100</v>
      </c>
      <c r="D152" s="4">
        <v>4.1250000000000002E-2</v>
      </c>
      <c r="E152" s="5">
        <f t="shared" si="33"/>
        <v>2.0625</v>
      </c>
      <c r="F152" s="1">
        <v>0</v>
      </c>
      <c r="G152" s="1">
        <f t="shared" si="34"/>
        <v>2.0625</v>
      </c>
    </row>
    <row r="153" spans="1:7" x14ac:dyDescent="0.2">
      <c r="A153" s="1" t="s">
        <v>67</v>
      </c>
      <c r="B153" s="3">
        <v>45847</v>
      </c>
      <c r="C153" s="1">
        <v>100</v>
      </c>
      <c r="D153" s="4">
        <v>4.1250000000000002E-2</v>
      </c>
      <c r="E153" s="5">
        <f t="shared" si="33"/>
        <v>2.0625</v>
      </c>
      <c r="F153" s="1">
        <v>0</v>
      </c>
      <c r="G153" s="1">
        <f t="shared" si="34"/>
        <v>2.0625</v>
      </c>
    </row>
    <row r="154" spans="1:7" x14ac:dyDescent="0.2">
      <c r="A154" s="1" t="s">
        <v>67</v>
      </c>
      <c r="B154" s="3">
        <v>46031</v>
      </c>
      <c r="C154" s="1">
        <v>100</v>
      </c>
      <c r="D154" s="4">
        <v>4.1250000000000002E-2</v>
      </c>
      <c r="E154" s="5">
        <f t="shared" si="33"/>
        <v>2.0625</v>
      </c>
      <c r="F154" s="1">
        <v>0</v>
      </c>
      <c r="G154" s="1">
        <f t="shared" si="34"/>
        <v>2.0625</v>
      </c>
    </row>
    <row r="155" spans="1:7" x14ac:dyDescent="0.2">
      <c r="A155" s="1" t="s">
        <v>67</v>
      </c>
      <c r="B155" s="3">
        <v>46212</v>
      </c>
      <c r="C155" s="1">
        <v>100</v>
      </c>
      <c r="D155" s="4">
        <v>4.1250000000000002E-2</v>
      </c>
      <c r="E155" s="5">
        <f t="shared" si="33"/>
        <v>2.0625</v>
      </c>
      <c r="F155" s="1">
        <v>0</v>
      </c>
      <c r="G155" s="1">
        <f t="shared" si="34"/>
        <v>2.0625</v>
      </c>
    </row>
    <row r="156" spans="1:7" x14ac:dyDescent="0.2">
      <c r="A156" s="1" t="s">
        <v>67</v>
      </c>
      <c r="B156" s="3">
        <v>46396</v>
      </c>
      <c r="C156" s="1">
        <v>100</v>
      </c>
      <c r="D156" s="4">
        <v>4.1250000000000002E-2</v>
      </c>
      <c r="E156" s="5">
        <f t="shared" si="33"/>
        <v>2.0625</v>
      </c>
      <c r="F156" s="1">
        <v>0</v>
      </c>
      <c r="G156" s="1">
        <f t="shared" si="34"/>
        <v>2.0625</v>
      </c>
    </row>
    <row r="157" spans="1:7" x14ac:dyDescent="0.2">
      <c r="A157" s="1" t="s">
        <v>67</v>
      </c>
      <c r="B157" s="3">
        <v>46577</v>
      </c>
      <c r="C157" s="1">
        <f>C156-F157</f>
        <v>95.454599999999999</v>
      </c>
      <c r="D157" s="4">
        <v>4.1250000000000002E-2</v>
      </c>
      <c r="E157" s="5">
        <f t="shared" si="33"/>
        <v>2.0625</v>
      </c>
      <c r="F157" s="1">
        <v>4.5453999999999999</v>
      </c>
      <c r="G157" s="1">
        <f t="shared" si="34"/>
        <v>6.6078999999999999</v>
      </c>
    </row>
    <row r="158" spans="1:7" x14ac:dyDescent="0.2">
      <c r="A158" s="1" t="s">
        <v>67</v>
      </c>
      <c r="B158" s="3">
        <v>46761</v>
      </c>
      <c r="C158" s="1">
        <f t="shared" ref="C158:C177" si="35">C157-F158</f>
        <v>90.909199999999998</v>
      </c>
      <c r="D158" s="4">
        <v>4.7500000000000001E-2</v>
      </c>
      <c r="E158" s="5">
        <f t="shared" si="33"/>
        <v>2.26704675</v>
      </c>
      <c r="F158" s="1">
        <v>4.5453999999999999</v>
      </c>
      <c r="G158" s="1">
        <f t="shared" si="34"/>
        <v>6.8124467499999994</v>
      </c>
    </row>
    <row r="159" spans="1:7" x14ac:dyDescent="0.2">
      <c r="A159" s="1" t="s">
        <v>67</v>
      </c>
      <c r="B159" s="3">
        <v>46943</v>
      </c>
      <c r="C159" s="1">
        <f t="shared" si="35"/>
        <v>86.363799999999998</v>
      </c>
      <c r="D159" s="4">
        <v>4.7500000000000001E-2</v>
      </c>
      <c r="E159" s="5">
        <f t="shared" si="33"/>
        <v>2.1590935</v>
      </c>
      <c r="F159" s="1">
        <v>4.5453999999999999</v>
      </c>
      <c r="G159" s="1">
        <f t="shared" si="34"/>
        <v>6.7044934999999999</v>
      </c>
    </row>
    <row r="160" spans="1:7" x14ac:dyDescent="0.2">
      <c r="A160" s="1" t="s">
        <v>67</v>
      </c>
      <c r="B160" s="3">
        <v>47127</v>
      </c>
      <c r="C160" s="1">
        <f t="shared" si="35"/>
        <v>81.818399999999997</v>
      </c>
      <c r="D160" s="4">
        <v>0.05</v>
      </c>
      <c r="E160" s="5">
        <f t="shared" si="33"/>
        <v>2.1590950000000002</v>
      </c>
      <c r="F160" s="1">
        <v>4.5453999999999999</v>
      </c>
      <c r="G160" s="1">
        <f t="shared" si="34"/>
        <v>6.7044949999999996</v>
      </c>
    </row>
    <row r="161" spans="1:7" x14ac:dyDescent="0.2">
      <c r="A161" s="1" t="s">
        <v>67</v>
      </c>
      <c r="B161" s="3">
        <v>47308</v>
      </c>
      <c r="C161" s="1">
        <f t="shared" si="35"/>
        <v>77.272999999999996</v>
      </c>
      <c r="D161" s="4">
        <v>0.05</v>
      </c>
      <c r="E161" s="5">
        <f t="shared" si="33"/>
        <v>2.0454599999999998</v>
      </c>
      <c r="F161" s="1">
        <v>4.5453999999999999</v>
      </c>
      <c r="G161" s="1">
        <f t="shared" si="34"/>
        <v>6.5908599999999993</v>
      </c>
    </row>
    <row r="162" spans="1:7" x14ac:dyDescent="0.2">
      <c r="A162" s="1" t="s">
        <v>67</v>
      </c>
      <c r="B162" s="3">
        <v>47492</v>
      </c>
      <c r="C162" s="1">
        <f t="shared" si="35"/>
        <v>72.727599999999995</v>
      </c>
      <c r="D162" s="4">
        <v>0.05</v>
      </c>
      <c r="E162" s="5">
        <f t="shared" si="33"/>
        <v>1.9318249999999999</v>
      </c>
      <c r="F162" s="1">
        <v>4.5453999999999999</v>
      </c>
      <c r="G162" s="1">
        <f t="shared" si="34"/>
        <v>6.4772249999999998</v>
      </c>
    </row>
    <row r="163" spans="1:7" x14ac:dyDescent="0.2">
      <c r="A163" s="1" t="s">
        <v>67</v>
      </c>
      <c r="B163" s="3">
        <v>47673</v>
      </c>
      <c r="C163" s="1">
        <f t="shared" si="35"/>
        <v>68.182199999999995</v>
      </c>
      <c r="D163" s="4">
        <v>0.05</v>
      </c>
      <c r="E163" s="5">
        <f t="shared" si="33"/>
        <v>1.81819</v>
      </c>
      <c r="F163" s="1">
        <v>4.5453999999999999</v>
      </c>
      <c r="G163" s="1">
        <f t="shared" si="34"/>
        <v>6.3635900000000003</v>
      </c>
    </row>
    <row r="164" spans="1:7" x14ac:dyDescent="0.2">
      <c r="A164" s="1" t="s">
        <v>67</v>
      </c>
      <c r="B164" s="3">
        <v>47857</v>
      </c>
      <c r="C164" s="1">
        <f t="shared" si="35"/>
        <v>63.636799999999994</v>
      </c>
      <c r="D164" s="4">
        <v>0.05</v>
      </c>
      <c r="E164" s="5">
        <f t="shared" si="33"/>
        <v>1.704555</v>
      </c>
      <c r="F164" s="1">
        <v>4.5453999999999999</v>
      </c>
      <c r="G164" s="1">
        <f t="shared" si="34"/>
        <v>6.2499549999999999</v>
      </c>
    </row>
    <row r="165" spans="1:7" x14ac:dyDescent="0.2">
      <c r="A165" s="1" t="s">
        <v>67</v>
      </c>
      <c r="B165" s="3">
        <v>48038</v>
      </c>
      <c r="C165" s="1">
        <f t="shared" si="35"/>
        <v>59.091399999999993</v>
      </c>
      <c r="D165" s="4">
        <v>0.05</v>
      </c>
      <c r="E165" s="5">
        <f t="shared" si="33"/>
        <v>1.5909199999999999</v>
      </c>
      <c r="F165" s="1">
        <v>4.5453999999999999</v>
      </c>
      <c r="G165" s="1">
        <f t="shared" si="34"/>
        <v>6.1363199999999996</v>
      </c>
    </row>
    <row r="166" spans="1:7" x14ac:dyDescent="0.2">
      <c r="A166" s="1" t="s">
        <v>67</v>
      </c>
      <c r="B166" s="3">
        <v>48222</v>
      </c>
      <c r="C166" s="1">
        <f t="shared" si="35"/>
        <v>54.545999999999992</v>
      </c>
      <c r="D166" s="4">
        <v>0.05</v>
      </c>
      <c r="E166" s="5">
        <f t="shared" si="33"/>
        <v>1.477285</v>
      </c>
      <c r="F166" s="1">
        <v>4.5453999999999999</v>
      </c>
      <c r="G166" s="1">
        <f t="shared" si="34"/>
        <v>6.0226850000000001</v>
      </c>
    </row>
    <row r="167" spans="1:7" x14ac:dyDescent="0.2">
      <c r="A167" s="1" t="s">
        <v>67</v>
      </c>
      <c r="B167" s="3">
        <v>48404</v>
      </c>
      <c r="C167" s="1">
        <f t="shared" si="35"/>
        <v>50.000599999999991</v>
      </c>
      <c r="D167" s="4">
        <v>0.05</v>
      </c>
      <c r="E167" s="5">
        <f t="shared" si="33"/>
        <v>1.3636499999999998</v>
      </c>
      <c r="F167" s="1">
        <v>4.5453999999999999</v>
      </c>
      <c r="G167" s="1">
        <f t="shared" si="34"/>
        <v>5.9090499999999997</v>
      </c>
    </row>
    <row r="168" spans="1:7" x14ac:dyDescent="0.2">
      <c r="A168" s="1" t="s">
        <v>67</v>
      </c>
      <c r="B168" s="3">
        <v>48588</v>
      </c>
      <c r="C168" s="1">
        <f t="shared" si="35"/>
        <v>45.455199999999991</v>
      </c>
      <c r="D168" s="4">
        <v>0.05</v>
      </c>
      <c r="E168" s="5">
        <f t="shared" si="33"/>
        <v>1.2500149999999999</v>
      </c>
      <c r="F168" s="1">
        <v>4.5453999999999999</v>
      </c>
      <c r="G168" s="1">
        <f t="shared" si="34"/>
        <v>5.7954150000000002</v>
      </c>
    </row>
    <row r="169" spans="1:7" x14ac:dyDescent="0.2">
      <c r="A169" s="1" t="s">
        <v>67</v>
      </c>
      <c r="B169" s="3">
        <v>48769</v>
      </c>
      <c r="C169" s="1">
        <f t="shared" si="35"/>
        <v>40.90979999999999</v>
      </c>
      <c r="D169" s="4">
        <v>0.05</v>
      </c>
      <c r="E169" s="5">
        <f t="shared" si="33"/>
        <v>1.1363799999999997</v>
      </c>
      <c r="F169" s="1">
        <v>4.5453999999999999</v>
      </c>
      <c r="G169" s="1">
        <f t="shared" si="34"/>
        <v>5.6817799999999998</v>
      </c>
    </row>
    <row r="170" spans="1:7" x14ac:dyDescent="0.2">
      <c r="A170" s="1" t="s">
        <v>67</v>
      </c>
      <c r="B170" s="3">
        <v>48953</v>
      </c>
      <c r="C170" s="1">
        <f t="shared" si="35"/>
        <v>36.364399999999989</v>
      </c>
      <c r="D170" s="4">
        <v>0.05</v>
      </c>
      <c r="E170" s="5">
        <f t="shared" si="33"/>
        <v>1.0227449999999998</v>
      </c>
      <c r="F170" s="1">
        <v>4.5453999999999999</v>
      </c>
      <c r="G170" s="1">
        <f t="shared" si="34"/>
        <v>5.5681449999999995</v>
      </c>
    </row>
    <row r="171" spans="1:7" x14ac:dyDescent="0.2">
      <c r="A171" s="1" t="s">
        <v>67</v>
      </c>
      <c r="B171" s="3">
        <v>49134</v>
      </c>
      <c r="C171" s="1">
        <f t="shared" si="35"/>
        <v>31.818999999999988</v>
      </c>
      <c r="D171" s="4">
        <v>0.05</v>
      </c>
      <c r="E171" s="5">
        <f t="shared" si="33"/>
        <v>0.90910999999999975</v>
      </c>
      <c r="F171" s="1">
        <v>4.5453999999999999</v>
      </c>
      <c r="G171" s="1">
        <f t="shared" si="34"/>
        <v>5.45451</v>
      </c>
    </row>
    <row r="172" spans="1:7" x14ac:dyDescent="0.2">
      <c r="A172" s="1" t="s">
        <v>67</v>
      </c>
      <c r="B172" s="3">
        <v>49318</v>
      </c>
      <c r="C172" s="1">
        <f t="shared" si="35"/>
        <v>27.273599999999988</v>
      </c>
      <c r="D172" s="4">
        <v>0.05</v>
      </c>
      <c r="E172" s="5">
        <f t="shared" si="33"/>
        <v>0.79547499999999971</v>
      </c>
      <c r="F172" s="1">
        <v>4.5453999999999999</v>
      </c>
      <c r="G172" s="1">
        <f t="shared" si="34"/>
        <v>5.3408749999999996</v>
      </c>
    </row>
    <row r="173" spans="1:7" x14ac:dyDescent="0.2">
      <c r="A173" s="1" t="s">
        <v>67</v>
      </c>
      <c r="B173" s="3">
        <v>49499</v>
      </c>
      <c r="C173" s="1">
        <f t="shared" si="35"/>
        <v>22.728199999999987</v>
      </c>
      <c r="D173" s="4">
        <v>0.05</v>
      </c>
      <c r="E173" s="5">
        <f t="shared" si="33"/>
        <v>0.68183999999999978</v>
      </c>
      <c r="F173" s="1">
        <v>4.5453999999999999</v>
      </c>
      <c r="G173" s="1">
        <f t="shared" si="34"/>
        <v>5.2272400000000001</v>
      </c>
    </row>
    <row r="174" spans="1:7" x14ac:dyDescent="0.2">
      <c r="A174" s="1" t="s">
        <v>67</v>
      </c>
      <c r="B174" s="3">
        <v>49683</v>
      </c>
      <c r="C174" s="1">
        <f t="shared" si="35"/>
        <v>18.182799999999986</v>
      </c>
      <c r="D174" s="4">
        <v>0.05</v>
      </c>
      <c r="E174" s="5">
        <f t="shared" ref="E174:E178" si="36">((D174*C173)/360)*DAYS360(B173,B174)</f>
        <v>0.56820499999999974</v>
      </c>
      <c r="F174" s="1">
        <v>4.5453999999999999</v>
      </c>
      <c r="G174" s="1">
        <f t="shared" ref="G174:G178" si="37">F174+E174</f>
        <v>5.1136049999999997</v>
      </c>
    </row>
    <row r="175" spans="1:7" x14ac:dyDescent="0.2">
      <c r="A175" s="1" t="s">
        <v>67</v>
      </c>
      <c r="B175" s="3">
        <v>49865</v>
      </c>
      <c r="C175" s="1">
        <f t="shared" si="35"/>
        <v>13.637399999999985</v>
      </c>
      <c r="D175" s="4">
        <v>0.05</v>
      </c>
      <c r="E175" s="5">
        <f t="shared" si="36"/>
        <v>0.4545699999999997</v>
      </c>
      <c r="F175" s="1">
        <v>4.5453999999999999</v>
      </c>
      <c r="G175" s="1">
        <f t="shared" si="37"/>
        <v>4.9999699999999994</v>
      </c>
    </row>
    <row r="176" spans="1:7" x14ac:dyDescent="0.2">
      <c r="A176" s="1" t="s">
        <v>67</v>
      </c>
      <c r="B176" s="3">
        <v>50049</v>
      </c>
      <c r="C176" s="1">
        <f t="shared" si="35"/>
        <v>9.0919999999999845</v>
      </c>
      <c r="D176" s="4">
        <v>0.05</v>
      </c>
      <c r="E176" s="5">
        <f t="shared" si="36"/>
        <v>0.34093499999999965</v>
      </c>
      <c r="F176" s="1">
        <v>4.5453999999999999</v>
      </c>
      <c r="G176" s="1">
        <f t="shared" si="37"/>
        <v>4.8863349999999999</v>
      </c>
    </row>
    <row r="177" spans="1:7" x14ac:dyDescent="0.2">
      <c r="A177" s="1" t="s">
        <v>67</v>
      </c>
      <c r="B177" s="3">
        <v>50230</v>
      </c>
      <c r="C177" s="1">
        <f t="shared" si="35"/>
        <v>4.5465999999999847</v>
      </c>
      <c r="D177" s="4">
        <v>0.05</v>
      </c>
      <c r="E177" s="5">
        <f t="shared" si="36"/>
        <v>0.22729999999999961</v>
      </c>
      <c r="F177" s="1">
        <v>4.5453999999999999</v>
      </c>
      <c r="G177" s="1">
        <f t="shared" si="37"/>
        <v>4.7726999999999995</v>
      </c>
    </row>
    <row r="178" spans="1:7" x14ac:dyDescent="0.2">
      <c r="A178" s="1" t="s">
        <v>67</v>
      </c>
      <c r="B178" s="3">
        <v>50414</v>
      </c>
      <c r="C178" s="1">
        <v>0</v>
      </c>
      <c r="D178" s="4">
        <v>0.05</v>
      </c>
      <c r="E178" s="5">
        <f t="shared" si="36"/>
        <v>0.11366499999999963</v>
      </c>
      <c r="F178" s="1">
        <v>4.5465999999999998</v>
      </c>
      <c r="G178" s="1">
        <f t="shared" si="37"/>
        <v>4.660264999999999</v>
      </c>
    </row>
    <row r="179" spans="1:7" x14ac:dyDescent="0.2">
      <c r="A179" s="1"/>
      <c r="B179" s="3"/>
      <c r="C179" s="1"/>
      <c r="D179" s="4"/>
      <c r="E179" s="5"/>
      <c r="F179" s="1"/>
      <c r="G179" s="1"/>
    </row>
    <row r="180" spans="1:7" x14ac:dyDescent="0.2">
      <c r="A180" s="2" t="s">
        <v>0</v>
      </c>
      <c r="B180" s="2" t="s">
        <v>10</v>
      </c>
      <c r="C180" s="2" t="s">
        <v>11</v>
      </c>
      <c r="D180" s="2" t="s">
        <v>14</v>
      </c>
      <c r="E180" s="2" t="s">
        <v>12</v>
      </c>
      <c r="F180" s="2" t="s">
        <v>13</v>
      </c>
      <c r="G180" s="2" t="s">
        <v>15</v>
      </c>
    </row>
    <row r="181" spans="1:7" x14ac:dyDescent="0.2">
      <c r="A181" s="1" t="s">
        <v>66</v>
      </c>
      <c r="B181" s="3">
        <v>44078</v>
      </c>
      <c r="C181" s="1">
        <v>100</v>
      </c>
      <c r="D181" s="1">
        <v>0</v>
      </c>
      <c r="E181" s="1">
        <v>0</v>
      </c>
      <c r="F181" s="1">
        <v>0</v>
      </c>
      <c r="G181" s="1">
        <f>F181+E181</f>
        <v>0</v>
      </c>
    </row>
    <row r="182" spans="1:7" x14ac:dyDescent="0.2">
      <c r="A182" s="1" t="s">
        <v>66</v>
      </c>
      <c r="B182" s="3">
        <v>44386</v>
      </c>
      <c r="C182" s="1">
        <v>100</v>
      </c>
      <c r="D182" s="4">
        <v>1.25E-3</v>
      </c>
      <c r="E182" s="5">
        <f t="shared" ref="E182:E215" si="38">((D182*C181)/360)*DAYS360(B181,B182)</f>
        <v>0.10590277777777778</v>
      </c>
      <c r="F182" s="1">
        <v>0</v>
      </c>
      <c r="G182" s="1">
        <f t="shared" ref="G182:G215" si="39">F182+E182</f>
        <v>0.10590277777777778</v>
      </c>
    </row>
    <row r="183" spans="1:7" x14ac:dyDescent="0.2">
      <c r="A183" s="1" t="s">
        <v>66</v>
      </c>
      <c r="B183" s="3">
        <v>44570</v>
      </c>
      <c r="C183" s="1">
        <v>100</v>
      </c>
      <c r="D183" s="4">
        <v>2.5000000000000001E-2</v>
      </c>
      <c r="E183" s="5">
        <f t="shared" si="38"/>
        <v>1.25</v>
      </c>
      <c r="F183" s="1">
        <v>0</v>
      </c>
      <c r="G183" s="1">
        <f t="shared" si="39"/>
        <v>1.25</v>
      </c>
    </row>
    <row r="184" spans="1:7" x14ac:dyDescent="0.2">
      <c r="A184" s="1" t="s">
        <v>66</v>
      </c>
      <c r="B184" s="3">
        <v>44751</v>
      </c>
      <c r="C184" s="1">
        <v>100</v>
      </c>
      <c r="D184" s="4">
        <v>2.5000000000000001E-2</v>
      </c>
      <c r="E184" s="5">
        <f t="shared" si="38"/>
        <v>1.25</v>
      </c>
      <c r="F184" s="1">
        <v>0</v>
      </c>
      <c r="G184" s="1">
        <f t="shared" si="39"/>
        <v>1.25</v>
      </c>
    </row>
    <row r="185" spans="1:7" x14ac:dyDescent="0.2">
      <c r="A185" s="1" t="s">
        <v>66</v>
      </c>
      <c r="B185" s="3">
        <v>44935</v>
      </c>
      <c r="C185" s="1">
        <v>100</v>
      </c>
      <c r="D185" s="4">
        <v>3.5000000000000003E-2</v>
      </c>
      <c r="E185" s="5">
        <f t="shared" si="38"/>
        <v>1.7500000000000004</v>
      </c>
      <c r="F185" s="1">
        <v>0</v>
      </c>
      <c r="G185" s="1">
        <f t="shared" si="39"/>
        <v>1.7500000000000004</v>
      </c>
    </row>
    <row r="186" spans="1:7" x14ac:dyDescent="0.2">
      <c r="A186" s="1" t="s">
        <v>66</v>
      </c>
      <c r="B186" s="3">
        <v>45116</v>
      </c>
      <c r="C186" s="1">
        <v>100</v>
      </c>
      <c r="D186" s="4">
        <v>3.5000000000000003E-2</v>
      </c>
      <c r="E186" s="5">
        <f t="shared" si="38"/>
        <v>1.7500000000000004</v>
      </c>
      <c r="F186" s="1">
        <v>0</v>
      </c>
      <c r="G186" s="1">
        <f t="shared" si="39"/>
        <v>1.7500000000000004</v>
      </c>
    </row>
    <row r="187" spans="1:7" x14ac:dyDescent="0.2">
      <c r="A187" s="1" t="s">
        <v>66</v>
      </c>
      <c r="B187" s="3">
        <v>45300</v>
      </c>
      <c r="C187" s="1">
        <v>100</v>
      </c>
      <c r="D187" s="4">
        <v>3.5000000000000003E-2</v>
      </c>
      <c r="E187" s="5">
        <f t="shared" si="38"/>
        <v>1.7500000000000004</v>
      </c>
      <c r="F187" s="1">
        <v>0</v>
      </c>
      <c r="G187" s="1">
        <f t="shared" si="39"/>
        <v>1.7500000000000004</v>
      </c>
    </row>
    <row r="188" spans="1:7" x14ac:dyDescent="0.2">
      <c r="A188" s="1" t="s">
        <v>66</v>
      </c>
      <c r="B188" s="3">
        <v>45482</v>
      </c>
      <c r="C188" s="1">
        <v>100</v>
      </c>
      <c r="D188" s="4">
        <v>3.5000000000000003E-2</v>
      </c>
      <c r="E188" s="5">
        <f t="shared" si="38"/>
        <v>1.7500000000000004</v>
      </c>
      <c r="F188" s="1">
        <v>0</v>
      </c>
      <c r="G188" s="1">
        <f t="shared" si="39"/>
        <v>1.7500000000000004</v>
      </c>
    </row>
    <row r="189" spans="1:7" x14ac:dyDescent="0.2">
      <c r="A189" s="1" t="s">
        <v>66</v>
      </c>
      <c r="B189" s="3">
        <v>45666</v>
      </c>
      <c r="C189" s="1">
        <v>100</v>
      </c>
      <c r="D189" s="4">
        <v>3.5000000000000003E-2</v>
      </c>
      <c r="E189" s="5">
        <f t="shared" si="38"/>
        <v>1.7500000000000004</v>
      </c>
      <c r="F189" s="1">
        <v>0</v>
      </c>
      <c r="G189" s="1">
        <f t="shared" si="39"/>
        <v>1.7500000000000004</v>
      </c>
    </row>
    <row r="190" spans="1:7" x14ac:dyDescent="0.2">
      <c r="A190" s="1" t="s">
        <v>66</v>
      </c>
      <c r="B190" s="3">
        <v>45847</v>
      </c>
      <c r="C190" s="1">
        <v>100</v>
      </c>
      <c r="D190" s="4">
        <v>3.5000000000000003E-2</v>
      </c>
      <c r="E190" s="5">
        <f t="shared" si="38"/>
        <v>1.7500000000000004</v>
      </c>
      <c r="F190" s="1">
        <v>0</v>
      </c>
      <c r="G190" s="1">
        <f t="shared" si="39"/>
        <v>1.7500000000000004</v>
      </c>
    </row>
    <row r="191" spans="1:7" x14ac:dyDescent="0.2">
      <c r="A191" s="1" t="s">
        <v>66</v>
      </c>
      <c r="B191" s="3">
        <v>46031</v>
      </c>
      <c r="C191" s="1">
        <v>100</v>
      </c>
      <c r="D191" s="4">
        <v>3.5000000000000003E-2</v>
      </c>
      <c r="E191" s="5">
        <f t="shared" si="38"/>
        <v>1.7500000000000004</v>
      </c>
      <c r="F191" s="1">
        <v>0</v>
      </c>
      <c r="G191" s="1">
        <f t="shared" si="39"/>
        <v>1.7500000000000004</v>
      </c>
    </row>
    <row r="192" spans="1:7" x14ac:dyDescent="0.2">
      <c r="A192" s="1" t="s">
        <v>66</v>
      </c>
      <c r="B192" s="3">
        <v>46212</v>
      </c>
      <c r="C192" s="1">
        <v>100</v>
      </c>
      <c r="D192" s="4">
        <v>3.5000000000000003E-2</v>
      </c>
      <c r="E192" s="5">
        <f t="shared" si="38"/>
        <v>1.7500000000000004</v>
      </c>
      <c r="F192" s="1">
        <v>0</v>
      </c>
      <c r="G192" s="1">
        <f t="shared" si="39"/>
        <v>1.7500000000000004</v>
      </c>
    </row>
    <row r="193" spans="1:7" x14ac:dyDescent="0.2">
      <c r="A193" s="1" t="s">
        <v>66</v>
      </c>
      <c r="B193" s="3">
        <v>46396</v>
      </c>
      <c r="C193" s="1">
        <v>100</v>
      </c>
      <c r="D193" s="4">
        <v>3.5000000000000003E-2</v>
      </c>
      <c r="E193" s="5">
        <f t="shared" si="38"/>
        <v>1.7500000000000004</v>
      </c>
      <c r="F193" s="1">
        <v>0</v>
      </c>
      <c r="G193" s="1">
        <f t="shared" si="39"/>
        <v>1.7500000000000004</v>
      </c>
    </row>
    <row r="194" spans="1:7" x14ac:dyDescent="0.2">
      <c r="A194" s="1" t="s">
        <v>66</v>
      </c>
      <c r="B194" s="3">
        <v>46577</v>
      </c>
      <c r="C194" s="1">
        <f>C193-F194</f>
        <v>100</v>
      </c>
      <c r="D194" s="4">
        <v>3.5000000000000003E-2</v>
      </c>
      <c r="E194" s="5">
        <f t="shared" si="38"/>
        <v>1.7500000000000004</v>
      </c>
      <c r="F194" s="1">
        <v>0</v>
      </c>
      <c r="G194" s="1">
        <f t="shared" si="39"/>
        <v>1.7500000000000004</v>
      </c>
    </row>
    <row r="195" spans="1:7" x14ac:dyDescent="0.2">
      <c r="A195" s="1" t="s">
        <v>66</v>
      </c>
      <c r="B195" s="3">
        <v>46761</v>
      </c>
      <c r="C195" s="1">
        <f t="shared" ref="C195:C221" si="40">C194-F195</f>
        <v>96.428600000000003</v>
      </c>
      <c r="D195" s="4">
        <v>3.5000000000000003E-2</v>
      </c>
      <c r="E195" s="5">
        <f t="shared" si="38"/>
        <v>1.7500000000000004</v>
      </c>
      <c r="F195" s="1">
        <v>3.5714000000000001</v>
      </c>
      <c r="G195" s="1">
        <f t="shared" si="39"/>
        <v>5.3214000000000006</v>
      </c>
    </row>
    <row r="196" spans="1:7" x14ac:dyDescent="0.2">
      <c r="A196" s="1" t="s">
        <v>66</v>
      </c>
      <c r="B196" s="3">
        <v>46943</v>
      </c>
      <c r="C196" s="1">
        <f t="shared" si="40"/>
        <v>92.857200000000006</v>
      </c>
      <c r="D196" s="4">
        <v>3.5000000000000003E-2</v>
      </c>
      <c r="E196" s="5">
        <f t="shared" si="38"/>
        <v>1.6875005000000005</v>
      </c>
      <c r="F196" s="1">
        <v>3.5714000000000001</v>
      </c>
      <c r="G196" s="1">
        <f t="shared" si="39"/>
        <v>5.2589005000000011</v>
      </c>
    </row>
    <row r="197" spans="1:7" x14ac:dyDescent="0.2">
      <c r="A197" s="1" t="s">
        <v>66</v>
      </c>
      <c r="B197" s="3">
        <v>47127</v>
      </c>
      <c r="C197" s="1">
        <f t="shared" si="40"/>
        <v>89.285800000000009</v>
      </c>
      <c r="D197" s="4">
        <v>3.5000000000000003E-2</v>
      </c>
      <c r="E197" s="5">
        <f t="shared" si="38"/>
        <v>1.6250010000000004</v>
      </c>
      <c r="F197" s="1">
        <v>3.5714000000000001</v>
      </c>
      <c r="G197" s="1">
        <f t="shared" si="39"/>
        <v>5.1964010000000007</v>
      </c>
    </row>
    <row r="198" spans="1:7" x14ac:dyDescent="0.2">
      <c r="A198" s="1" t="s">
        <v>66</v>
      </c>
      <c r="B198" s="3">
        <v>47308</v>
      </c>
      <c r="C198" s="1">
        <f t="shared" si="40"/>
        <v>85.714400000000012</v>
      </c>
      <c r="D198" s="4">
        <v>3.5000000000000003E-2</v>
      </c>
      <c r="E198" s="5">
        <f t="shared" si="38"/>
        <v>1.5625015000000002</v>
      </c>
      <c r="F198" s="1">
        <v>3.5714000000000001</v>
      </c>
      <c r="G198" s="1">
        <f t="shared" si="39"/>
        <v>5.1339015000000003</v>
      </c>
    </row>
    <row r="199" spans="1:7" x14ac:dyDescent="0.2">
      <c r="A199" s="1" t="s">
        <v>66</v>
      </c>
      <c r="B199" s="3">
        <v>47492</v>
      </c>
      <c r="C199" s="1">
        <f t="shared" si="40"/>
        <v>82.143000000000015</v>
      </c>
      <c r="D199" s="4">
        <v>4.8750000000000002E-2</v>
      </c>
      <c r="E199" s="5">
        <f t="shared" si="38"/>
        <v>2.0892885000000003</v>
      </c>
      <c r="F199" s="1">
        <v>3.5714000000000001</v>
      </c>
      <c r="G199" s="1">
        <f t="shared" si="39"/>
        <v>5.6606885000000009</v>
      </c>
    </row>
    <row r="200" spans="1:7" x14ac:dyDescent="0.2">
      <c r="A200" s="1" t="s">
        <v>66</v>
      </c>
      <c r="B200" s="3">
        <v>47673</v>
      </c>
      <c r="C200" s="1">
        <f t="shared" si="40"/>
        <v>78.571600000000018</v>
      </c>
      <c r="D200" s="4">
        <v>4.8750000000000002E-2</v>
      </c>
      <c r="E200" s="5">
        <f t="shared" si="38"/>
        <v>2.0022356250000004</v>
      </c>
      <c r="F200" s="1">
        <v>3.5714000000000001</v>
      </c>
      <c r="G200" s="1">
        <f t="shared" si="39"/>
        <v>5.5736356250000005</v>
      </c>
    </row>
    <row r="201" spans="1:7" x14ac:dyDescent="0.2">
      <c r="A201" s="1" t="s">
        <v>66</v>
      </c>
      <c r="B201" s="3">
        <v>47857</v>
      </c>
      <c r="C201" s="1">
        <f t="shared" si="40"/>
        <v>75.000200000000021</v>
      </c>
      <c r="D201" s="4">
        <v>4.8750000000000002E-2</v>
      </c>
      <c r="E201" s="5">
        <f t="shared" si="38"/>
        <v>1.9151827500000003</v>
      </c>
      <c r="F201" s="1">
        <v>3.5714000000000001</v>
      </c>
      <c r="G201" s="1">
        <f t="shared" si="39"/>
        <v>5.4865827500000002</v>
      </c>
    </row>
    <row r="202" spans="1:7" x14ac:dyDescent="0.2">
      <c r="A202" s="1" t="s">
        <v>66</v>
      </c>
      <c r="B202" s="3">
        <v>48038</v>
      </c>
      <c r="C202" s="1">
        <f t="shared" si="40"/>
        <v>71.428800000000024</v>
      </c>
      <c r="D202" s="4">
        <v>4.8750000000000002E-2</v>
      </c>
      <c r="E202" s="5">
        <f t="shared" si="38"/>
        <v>1.8281298750000006</v>
      </c>
      <c r="F202" s="1">
        <v>3.5714000000000001</v>
      </c>
      <c r="G202" s="1">
        <f t="shared" si="39"/>
        <v>5.3995298750000007</v>
      </c>
    </row>
    <row r="203" spans="1:7" x14ac:dyDescent="0.2">
      <c r="A203" s="1" t="s">
        <v>66</v>
      </c>
      <c r="B203" s="3">
        <v>48222</v>
      </c>
      <c r="C203" s="1">
        <f t="shared" si="40"/>
        <v>67.857400000000027</v>
      </c>
      <c r="D203" s="4">
        <v>4.8750000000000002E-2</v>
      </c>
      <c r="E203" s="5">
        <f t="shared" si="38"/>
        <v>1.7410770000000007</v>
      </c>
      <c r="F203" s="1">
        <v>3.5714000000000001</v>
      </c>
      <c r="G203" s="1">
        <f t="shared" si="39"/>
        <v>5.3124770000000012</v>
      </c>
    </row>
    <row r="204" spans="1:7" x14ac:dyDescent="0.2">
      <c r="A204" s="1" t="s">
        <v>66</v>
      </c>
      <c r="B204" s="3">
        <v>48404</v>
      </c>
      <c r="C204" s="1">
        <f t="shared" si="40"/>
        <v>64.28600000000003</v>
      </c>
      <c r="D204" s="4">
        <v>4.8750000000000002E-2</v>
      </c>
      <c r="E204" s="5">
        <f t="shared" si="38"/>
        <v>1.6540241250000007</v>
      </c>
      <c r="F204" s="1">
        <v>3.5714000000000001</v>
      </c>
      <c r="G204" s="1">
        <f t="shared" si="39"/>
        <v>5.2254241250000009</v>
      </c>
    </row>
    <row r="205" spans="1:7" x14ac:dyDescent="0.2">
      <c r="A205" s="1" t="s">
        <v>66</v>
      </c>
      <c r="B205" s="3">
        <v>48588</v>
      </c>
      <c r="C205" s="1">
        <f t="shared" si="40"/>
        <v>60.714600000000033</v>
      </c>
      <c r="D205" s="4">
        <v>4.8750000000000002E-2</v>
      </c>
      <c r="E205" s="5">
        <f t="shared" si="38"/>
        <v>1.5669712500000008</v>
      </c>
      <c r="F205" s="1">
        <v>3.5714000000000001</v>
      </c>
      <c r="G205" s="1">
        <f t="shared" si="39"/>
        <v>5.1383712500000005</v>
      </c>
    </row>
    <row r="206" spans="1:7" x14ac:dyDescent="0.2">
      <c r="A206" s="1" t="s">
        <v>66</v>
      </c>
      <c r="B206" s="3">
        <v>48769</v>
      </c>
      <c r="C206" s="1">
        <f t="shared" si="40"/>
        <v>57.143200000000036</v>
      </c>
      <c r="D206" s="4">
        <v>4.8750000000000002E-2</v>
      </c>
      <c r="E206" s="5">
        <f t="shared" si="38"/>
        <v>1.4799183750000011</v>
      </c>
      <c r="F206" s="1">
        <v>3.5714000000000001</v>
      </c>
      <c r="G206" s="1">
        <f t="shared" si="39"/>
        <v>5.051318375000001</v>
      </c>
    </row>
    <row r="207" spans="1:7" x14ac:dyDescent="0.2">
      <c r="A207" s="1" t="s">
        <v>66</v>
      </c>
      <c r="B207" s="3">
        <v>48953</v>
      </c>
      <c r="C207" s="1">
        <f t="shared" si="40"/>
        <v>53.571800000000039</v>
      </c>
      <c r="D207" s="4">
        <v>4.8750000000000002E-2</v>
      </c>
      <c r="E207" s="5">
        <f t="shared" si="38"/>
        <v>1.392865500000001</v>
      </c>
      <c r="F207" s="1">
        <v>3.5714000000000001</v>
      </c>
      <c r="G207" s="1">
        <f t="shared" si="39"/>
        <v>4.9642655000000016</v>
      </c>
    </row>
    <row r="208" spans="1:7" x14ac:dyDescent="0.2">
      <c r="A208" s="1" t="s">
        <v>66</v>
      </c>
      <c r="B208" s="3">
        <v>49134</v>
      </c>
      <c r="C208" s="1">
        <f t="shared" si="40"/>
        <v>50.000400000000042</v>
      </c>
      <c r="D208" s="4">
        <v>4.8750000000000002E-2</v>
      </c>
      <c r="E208" s="5">
        <f t="shared" si="38"/>
        <v>1.3058126250000011</v>
      </c>
      <c r="F208" s="1">
        <v>3.5714000000000001</v>
      </c>
      <c r="G208" s="1">
        <f t="shared" si="39"/>
        <v>4.8772126250000012</v>
      </c>
    </row>
    <row r="209" spans="1:7" x14ac:dyDescent="0.2">
      <c r="A209" s="1" t="s">
        <v>66</v>
      </c>
      <c r="B209" s="3">
        <v>49318</v>
      </c>
      <c r="C209" s="1">
        <f t="shared" si="40"/>
        <v>46.429000000000045</v>
      </c>
      <c r="D209" s="4">
        <v>4.8750000000000002E-2</v>
      </c>
      <c r="E209" s="5">
        <f t="shared" si="38"/>
        <v>1.2187597500000011</v>
      </c>
      <c r="F209" s="1">
        <v>3.5714000000000001</v>
      </c>
      <c r="G209" s="1">
        <f t="shared" si="39"/>
        <v>4.7901597500000008</v>
      </c>
    </row>
    <row r="210" spans="1:7" x14ac:dyDescent="0.2">
      <c r="A210" s="1" t="s">
        <v>66</v>
      </c>
      <c r="B210" s="3">
        <v>49499</v>
      </c>
      <c r="C210" s="1">
        <f t="shared" si="40"/>
        <v>42.857600000000048</v>
      </c>
      <c r="D210" s="4">
        <v>4.8750000000000002E-2</v>
      </c>
      <c r="E210" s="5">
        <f t="shared" si="38"/>
        <v>1.1317068750000012</v>
      </c>
      <c r="F210" s="1">
        <v>3.5714000000000001</v>
      </c>
      <c r="G210" s="1">
        <f t="shared" si="39"/>
        <v>4.7031068750000014</v>
      </c>
    </row>
    <row r="211" spans="1:7" x14ac:dyDescent="0.2">
      <c r="A211" s="1" t="s">
        <v>66</v>
      </c>
      <c r="B211" s="3">
        <v>49683</v>
      </c>
      <c r="C211" s="1">
        <f t="shared" si="40"/>
        <v>39.286200000000051</v>
      </c>
      <c r="D211" s="4">
        <v>4.8750000000000002E-2</v>
      </c>
      <c r="E211" s="5">
        <f t="shared" si="38"/>
        <v>1.0446540000000013</v>
      </c>
      <c r="F211" s="1">
        <v>3.5714000000000001</v>
      </c>
      <c r="G211" s="1">
        <f t="shared" si="39"/>
        <v>4.6160540000000019</v>
      </c>
    </row>
    <row r="212" spans="1:7" x14ac:dyDescent="0.2">
      <c r="A212" s="1" t="s">
        <v>66</v>
      </c>
      <c r="B212" s="3">
        <v>49865</v>
      </c>
      <c r="C212" s="1">
        <f t="shared" si="40"/>
        <v>35.714800000000054</v>
      </c>
      <c r="D212" s="4">
        <v>4.8750000000000002E-2</v>
      </c>
      <c r="E212" s="5">
        <f t="shared" si="38"/>
        <v>0.95760112500000127</v>
      </c>
      <c r="F212" s="1">
        <v>3.5714000000000001</v>
      </c>
      <c r="G212" s="1">
        <f t="shared" si="39"/>
        <v>4.5290011250000015</v>
      </c>
    </row>
    <row r="213" spans="1:7" x14ac:dyDescent="0.2">
      <c r="A213" s="1" t="s">
        <v>66</v>
      </c>
      <c r="B213" s="3">
        <v>50049</v>
      </c>
      <c r="C213" s="1">
        <f t="shared" si="40"/>
        <v>32.143400000000057</v>
      </c>
      <c r="D213" s="4">
        <v>4.8750000000000002E-2</v>
      </c>
      <c r="E213" s="5">
        <f t="shared" si="38"/>
        <v>0.87054825000000136</v>
      </c>
      <c r="F213" s="1">
        <v>3.5714000000000001</v>
      </c>
      <c r="G213" s="1">
        <f t="shared" si="39"/>
        <v>4.4419482500000012</v>
      </c>
    </row>
    <row r="214" spans="1:7" x14ac:dyDescent="0.2">
      <c r="A214" s="1" t="s">
        <v>66</v>
      </c>
      <c r="B214" s="3">
        <v>50230</v>
      </c>
      <c r="C214" s="1">
        <f t="shared" si="40"/>
        <v>28.572000000000056</v>
      </c>
      <c r="D214" s="4">
        <v>4.8750000000000002E-2</v>
      </c>
      <c r="E214" s="5">
        <f t="shared" si="38"/>
        <v>0.78349537500000155</v>
      </c>
      <c r="F214" s="1">
        <v>3.5714000000000001</v>
      </c>
      <c r="G214" s="1">
        <f t="shared" si="39"/>
        <v>4.3548953750000017</v>
      </c>
    </row>
    <row r="215" spans="1:7" x14ac:dyDescent="0.2">
      <c r="A215" s="1" t="s">
        <v>66</v>
      </c>
      <c r="B215" s="3">
        <v>50414</v>
      </c>
      <c r="C215" s="1">
        <f t="shared" si="40"/>
        <v>25.000600000000055</v>
      </c>
      <c r="D215" s="4">
        <v>4.8750000000000002E-2</v>
      </c>
      <c r="E215" s="5">
        <f t="shared" si="38"/>
        <v>0.69644250000000141</v>
      </c>
      <c r="F215" s="1">
        <v>3.5714000000000001</v>
      </c>
      <c r="G215" s="1">
        <f t="shared" si="39"/>
        <v>4.2678425000000013</v>
      </c>
    </row>
    <row r="216" spans="1:7" x14ac:dyDescent="0.2">
      <c r="A216" s="1" t="s">
        <v>66</v>
      </c>
      <c r="B216" s="3">
        <v>50595</v>
      </c>
      <c r="C216" s="1">
        <f t="shared" si="40"/>
        <v>21.429200000000055</v>
      </c>
      <c r="D216" s="4">
        <v>4.8750000000000002E-2</v>
      </c>
      <c r="E216" s="5">
        <f t="shared" ref="E216:E222" si="41">((D216*C215)/360)*DAYS360(B215,B216)</f>
        <v>0.60938962500000138</v>
      </c>
      <c r="F216" s="1">
        <v>3.5714000000000001</v>
      </c>
      <c r="G216" s="1">
        <f t="shared" ref="G216:G222" si="42">F216+E216</f>
        <v>4.1807896250000018</v>
      </c>
    </row>
    <row r="217" spans="1:7" x14ac:dyDescent="0.2">
      <c r="A217" s="1" t="s">
        <v>66</v>
      </c>
      <c r="B217" s="3">
        <v>50779</v>
      </c>
      <c r="C217" s="1">
        <f t="shared" si="40"/>
        <v>17.857800000000054</v>
      </c>
      <c r="D217" s="4">
        <v>4.8750000000000002E-2</v>
      </c>
      <c r="E217" s="5">
        <f t="shared" si="41"/>
        <v>0.52233675000000135</v>
      </c>
      <c r="F217" s="1">
        <v>3.5714000000000001</v>
      </c>
      <c r="G217" s="1">
        <f t="shared" si="42"/>
        <v>4.0937367500000015</v>
      </c>
    </row>
    <row r="218" spans="1:7" x14ac:dyDescent="0.2">
      <c r="A218" s="1" t="s">
        <v>66</v>
      </c>
      <c r="B218" s="3">
        <v>50960</v>
      </c>
      <c r="C218" s="1">
        <f t="shared" si="40"/>
        <v>14.286400000000054</v>
      </c>
      <c r="D218" s="4">
        <v>4.8750000000000002E-2</v>
      </c>
      <c r="E218" s="5">
        <f t="shared" si="41"/>
        <v>0.43528387500000132</v>
      </c>
      <c r="F218" s="1">
        <v>3.5714000000000001</v>
      </c>
      <c r="G218" s="1">
        <f t="shared" si="42"/>
        <v>4.0066838750000011</v>
      </c>
    </row>
    <row r="219" spans="1:7" x14ac:dyDescent="0.2">
      <c r="A219" s="1" t="s">
        <v>66</v>
      </c>
      <c r="B219" s="3">
        <v>51144</v>
      </c>
      <c r="C219" s="1">
        <f t="shared" si="40"/>
        <v>10.715000000000053</v>
      </c>
      <c r="D219" s="4">
        <v>4.8750000000000002E-2</v>
      </c>
      <c r="E219" s="5">
        <f t="shared" si="41"/>
        <v>0.34823100000000135</v>
      </c>
      <c r="F219" s="1">
        <v>3.5714000000000001</v>
      </c>
      <c r="G219" s="1">
        <f t="shared" si="42"/>
        <v>3.9196310000000016</v>
      </c>
    </row>
    <row r="220" spans="1:7" x14ac:dyDescent="0.2">
      <c r="A220" s="1" t="s">
        <v>66</v>
      </c>
      <c r="B220" s="3">
        <v>51326</v>
      </c>
      <c r="C220" s="1">
        <f t="shared" si="40"/>
        <v>7.1436000000000526</v>
      </c>
      <c r="D220" s="4">
        <v>4.8750000000000002E-2</v>
      </c>
      <c r="E220" s="5">
        <f t="shared" si="41"/>
        <v>0.26117812500000132</v>
      </c>
      <c r="F220" s="1">
        <v>3.5714000000000001</v>
      </c>
      <c r="G220" s="1">
        <f t="shared" si="42"/>
        <v>3.8325781250000013</v>
      </c>
    </row>
    <row r="221" spans="1:7" x14ac:dyDescent="0.2">
      <c r="A221" s="1" t="s">
        <v>66</v>
      </c>
      <c r="B221" s="3">
        <v>51510</v>
      </c>
      <c r="C221" s="1">
        <f t="shared" si="40"/>
        <v>3.5722000000000524</v>
      </c>
      <c r="D221" s="4">
        <v>4.8750000000000002E-2</v>
      </c>
      <c r="E221" s="5">
        <f t="shared" si="41"/>
        <v>0.17412525000000129</v>
      </c>
      <c r="F221" s="1">
        <v>3.5714000000000001</v>
      </c>
      <c r="G221" s="1">
        <f t="shared" si="42"/>
        <v>3.7455252500000014</v>
      </c>
    </row>
    <row r="222" spans="1:7" x14ac:dyDescent="0.2">
      <c r="A222" s="1" t="s">
        <v>66</v>
      </c>
      <c r="B222" s="3">
        <v>51691</v>
      </c>
      <c r="C222" s="1">
        <v>0</v>
      </c>
      <c r="D222" s="4">
        <v>4.8750000000000002E-2</v>
      </c>
      <c r="E222" s="5">
        <f t="shared" si="41"/>
        <v>8.7072375000001284E-2</v>
      </c>
      <c r="F222" s="1">
        <v>3.5722</v>
      </c>
      <c r="G222" s="1">
        <f t="shared" si="42"/>
        <v>3.6592723750000014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27BD7-942D-4EB2-B02C-C54B81EE4FA2}">
  <dimension ref="A1:G210"/>
  <sheetViews>
    <sheetView workbookViewId="0">
      <selection activeCell="I32" sqref="I32"/>
    </sheetView>
  </sheetViews>
  <sheetFormatPr baseColWidth="10" defaultRowHeight="15" x14ac:dyDescent="0.2"/>
  <cols>
    <col min="1" max="7" width="14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68</v>
      </c>
      <c r="B2" s="3">
        <v>44078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68</v>
      </c>
      <c r="B3" s="3">
        <v>44386</v>
      </c>
      <c r="C3" s="1">
        <v>100</v>
      </c>
      <c r="D3" s="4">
        <v>0.01</v>
      </c>
      <c r="E3" s="5">
        <f t="shared" ref="E3:E19" si="0">((D3*C2)/360)*DAYS360(B2,B3)</f>
        <v>0.84722222222222221</v>
      </c>
      <c r="F3" s="1">
        <v>0</v>
      </c>
      <c r="G3" s="1">
        <f t="shared" ref="G3:G19" si="1">F3+E3</f>
        <v>0.84722222222222221</v>
      </c>
    </row>
    <row r="4" spans="1:7" x14ac:dyDescent="0.2">
      <c r="A4" s="1" t="s">
        <v>68</v>
      </c>
      <c r="B4" s="3">
        <v>44570</v>
      </c>
      <c r="C4" s="1">
        <v>100</v>
      </c>
      <c r="D4" s="4">
        <v>0.01</v>
      </c>
      <c r="E4" s="5">
        <f t="shared" si="0"/>
        <v>0.5</v>
      </c>
      <c r="F4" s="1">
        <v>0</v>
      </c>
      <c r="G4" s="1">
        <f t="shared" si="1"/>
        <v>0.5</v>
      </c>
    </row>
    <row r="5" spans="1:7" x14ac:dyDescent="0.2">
      <c r="A5" s="1" t="s">
        <v>68</v>
      </c>
      <c r="B5" s="3">
        <v>44751</v>
      </c>
      <c r="C5" s="1">
        <v>100</v>
      </c>
      <c r="D5" s="4">
        <v>0.01</v>
      </c>
      <c r="E5" s="5">
        <f t="shared" si="0"/>
        <v>0.5</v>
      </c>
      <c r="F5" s="1">
        <v>0</v>
      </c>
      <c r="G5" s="1">
        <f t="shared" si="1"/>
        <v>0.5</v>
      </c>
    </row>
    <row r="6" spans="1:7" x14ac:dyDescent="0.2">
      <c r="A6" s="1" t="s">
        <v>68</v>
      </c>
      <c r="B6" s="3">
        <v>44935</v>
      </c>
      <c r="C6" s="1">
        <v>100</v>
      </c>
      <c r="D6" s="4">
        <v>0.01</v>
      </c>
      <c r="E6" s="5">
        <f t="shared" si="0"/>
        <v>0.5</v>
      </c>
      <c r="F6" s="1">
        <v>0</v>
      </c>
      <c r="G6" s="1">
        <f t="shared" si="1"/>
        <v>0.5</v>
      </c>
    </row>
    <row r="7" spans="1:7" x14ac:dyDescent="0.2">
      <c r="A7" s="1" t="s">
        <v>68</v>
      </c>
      <c r="B7" s="3">
        <v>45116</v>
      </c>
      <c r="C7" s="1">
        <v>100</v>
      </c>
      <c r="D7" s="4">
        <v>0.01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68</v>
      </c>
      <c r="B8" s="3">
        <v>45300</v>
      </c>
      <c r="C8" s="1">
        <v>100</v>
      </c>
      <c r="D8" s="4">
        <v>0.01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68</v>
      </c>
      <c r="B9" s="3">
        <v>45482</v>
      </c>
      <c r="C9" s="1">
        <v>100</v>
      </c>
      <c r="D9" s="4">
        <v>0.01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68</v>
      </c>
      <c r="B10" s="3">
        <v>45666</v>
      </c>
      <c r="C10" s="1">
        <f>C9-F10</f>
        <v>90</v>
      </c>
      <c r="D10" s="4">
        <v>0.01</v>
      </c>
      <c r="E10" s="5">
        <f t="shared" si="0"/>
        <v>0.5</v>
      </c>
      <c r="F10" s="1">
        <v>10</v>
      </c>
      <c r="G10" s="1">
        <f t="shared" si="1"/>
        <v>10.5</v>
      </c>
    </row>
    <row r="11" spans="1:7" x14ac:dyDescent="0.2">
      <c r="A11" s="1" t="s">
        <v>68</v>
      </c>
      <c r="B11" s="3">
        <v>45847</v>
      </c>
      <c r="C11" s="1">
        <f t="shared" ref="C11:C19" si="2">C10-F11</f>
        <v>80</v>
      </c>
      <c r="D11" s="4">
        <v>0.01</v>
      </c>
      <c r="E11" s="5">
        <f t="shared" si="0"/>
        <v>0.45</v>
      </c>
      <c r="F11" s="1">
        <v>10</v>
      </c>
      <c r="G11" s="1">
        <f t="shared" si="1"/>
        <v>10.45</v>
      </c>
    </row>
    <row r="12" spans="1:7" x14ac:dyDescent="0.2">
      <c r="A12" s="1" t="s">
        <v>68</v>
      </c>
      <c r="B12" s="3">
        <v>46031</v>
      </c>
      <c r="C12" s="1">
        <f t="shared" si="2"/>
        <v>70</v>
      </c>
      <c r="D12" s="4">
        <v>0.01</v>
      </c>
      <c r="E12" s="5">
        <f t="shared" si="0"/>
        <v>0.4</v>
      </c>
      <c r="F12" s="1">
        <v>10</v>
      </c>
      <c r="G12" s="1">
        <f t="shared" si="1"/>
        <v>10.4</v>
      </c>
    </row>
    <row r="13" spans="1:7" x14ac:dyDescent="0.2">
      <c r="A13" s="1" t="s">
        <v>68</v>
      </c>
      <c r="B13" s="3">
        <v>46212</v>
      </c>
      <c r="C13" s="1">
        <f t="shared" si="2"/>
        <v>60</v>
      </c>
      <c r="D13" s="4">
        <v>0.01</v>
      </c>
      <c r="E13" s="5">
        <f t="shared" si="0"/>
        <v>0.35000000000000003</v>
      </c>
      <c r="F13" s="1">
        <v>10</v>
      </c>
      <c r="G13" s="1">
        <f t="shared" si="1"/>
        <v>10.35</v>
      </c>
    </row>
    <row r="14" spans="1:7" x14ac:dyDescent="0.2">
      <c r="A14" s="1" t="s">
        <v>68</v>
      </c>
      <c r="B14" s="3">
        <v>46396</v>
      </c>
      <c r="C14" s="1">
        <f t="shared" si="2"/>
        <v>50</v>
      </c>
      <c r="D14" s="4">
        <v>0.01</v>
      </c>
      <c r="E14" s="5">
        <f t="shared" si="0"/>
        <v>0.3</v>
      </c>
      <c r="F14" s="1">
        <v>10</v>
      </c>
      <c r="G14" s="1">
        <f t="shared" si="1"/>
        <v>10.3</v>
      </c>
    </row>
    <row r="15" spans="1:7" x14ac:dyDescent="0.2">
      <c r="A15" s="1" t="s">
        <v>68</v>
      </c>
      <c r="B15" s="3">
        <v>46577</v>
      </c>
      <c r="C15" s="1">
        <f t="shared" si="2"/>
        <v>40</v>
      </c>
      <c r="D15" s="4">
        <v>0.01</v>
      </c>
      <c r="E15" s="5">
        <f t="shared" si="0"/>
        <v>0.25</v>
      </c>
      <c r="F15" s="1">
        <v>10</v>
      </c>
      <c r="G15" s="1">
        <f t="shared" si="1"/>
        <v>10.25</v>
      </c>
    </row>
    <row r="16" spans="1:7" x14ac:dyDescent="0.2">
      <c r="A16" s="1" t="s">
        <v>68</v>
      </c>
      <c r="B16" s="3">
        <v>46761</v>
      </c>
      <c r="C16" s="1">
        <f t="shared" si="2"/>
        <v>30</v>
      </c>
      <c r="D16" s="4">
        <v>0.01</v>
      </c>
      <c r="E16" s="5">
        <f t="shared" si="0"/>
        <v>0.2</v>
      </c>
      <c r="F16" s="1">
        <v>10</v>
      </c>
      <c r="G16" s="1">
        <f t="shared" si="1"/>
        <v>10.199999999999999</v>
      </c>
    </row>
    <row r="17" spans="1:7" x14ac:dyDescent="0.2">
      <c r="A17" s="1" t="s">
        <v>68</v>
      </c>
      <c r="B17" s="3">
        <v>46943</v>
      </c>
      <c r="C17" s="1">
        <f t="shared" si="2"/>
        <v>20</v>
      </c>
      <c r="D17" s="4">
        <v>0.01</v>
      </c>
      <c r="E17" s="5">
        <f t="shared" si="0"/>
        <v>0.15</v>
      </c>
      <c r="F17" s="1">
        <v>10</v>
      </c>
      <c r="G17" s="1">
        <f t="shared" si="1"/>
        <v>10.15</v>
      </c>
    </row>
    <row r="18" spans="1:7" x14ac:dyDescent="0.2">
      <c r="A18" s="1" t="s">
        <v>68</v>
      </c>
      <c r="B18" s="3">
        <v>47127</v>
      </c>
      <c r="C18" s="1">
        <f t="shared" si="2"/>
        <v>10</v>
      </c>
      <c r="D18" s="4">
        <v>0.01</v>
      </c>
      <c r="E18" s="5">
        <f t="shared" si="0"/>
        <v>0.1</v>
      </c>
      <c r="F18" s="1">
        <v>10</v>
      </c>
      <c r="G18" s="1">
        <f t="shared" si="1"/>
        <v>10.1</v>
      </c>
    </row>
    <row r="19" spans="1:7" x14ac:dyDescent="0.2">
      <c r="A19" s="1" t="s">
        <v>68</v>
      </c>
      <c r="B19" s="3">
        <v>47308</v>
      </c>
      <c r="C19" s="1">
        <f t="shared" si="2"/>
        <v>0</v>
      </c>
      <c r="D19" s="4">
        <v>0.01</v>
      </c>
      <c r="E19" s="5">
        <f t="shared" si="0"/>
        <v>0.05</v>
      </c>
      <c r="F19" s="1">
        <v>10</v>
      </c>
      <c r="G19" s="1">
        <f t="shared" si="1"/>
        <v>10.050000000000001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69</v>
      </c>
      <c r="B22" s="3">
        <v>44078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69</v>
      </c>
      <c r="B23" s="3">
        <v>44386</v>
      </c>
      <c r="C23" s="1">
        <v>100</v>
      </c>
      <c r="D23" s="4">
        <v>1.25E-3</v>
      </c>
      <c r="E23" s="5">
        <f t="shared" ref="E23:E41" si="3">((D23*C22)/360)*DAYS360(B22,B23)</f>
        <v>0.10590277777777778</v>
      </c>
      <c r="F23" s="1">
        <v>0</v>
      </c>
      <c r="G23" s="1">
        <f t="shared" ref="G23:G41" si="4">F23+E23</f>
        <v>0.10590277777777778</v>
      </c>
    </row>
    <row r="24" spans="1:7" x14ac:dyDescent="0.2">
      <c r="A24" s="1" t="s">
        <v>69</v>
      </c>
      <c r="B24" s="3">
        <v>44570</v>
      </c>
      <c r="C24" s="1">
        <v>100</v>
      </c>
      <c r="D24" s="4">
        <v>5.0000000000000001E-3</v>
      </c>
      <c r="E24" s="5">
        <f t="shared" si="3"/>
        <v>0.25</v>
      </c>
      <c r="F24" s="1">
        <v>0</v>
      </c>
      <c r="G24" s="1">
        <f t="shared" si="4"/>
        <v>0.25</v>
      </c>
    </row>
    <row r="25" spans="1:7" x14ac:dyDescent="0.2">
      <c r="A25" s="1" t="s">
        <v>69</v>
      </c>
      <c r="B25" s="3">
        <v>44751</v>
      </c>
      <c r="C25" s="1">
        <v>100</v>
      </c>
      <c r="D25" s="4">
        <v>5.0000000000000001E-3</v>
      </c>
      <c r="E25" s="5">
        <f t="shared" si="3"/>
        <v>0.25</v>
      </c>
      <c r="F25" s="1">
        <v>0</v>
      </c>
      <c r="G25" s="1">
        <f t="shared" si="4"/>
        <v>0.25</v>
      </c>
    </row>
    <row r="26" spans="1:7" x14ac:dyDescent="0.2">
      <c r="A26" s="1" t="s">
        <v>69</v>
      </c>
      <c r="B26" s="3">
        <v>44935</v>
      </c>
      <c r="C26" s="1">
        <v>100</v>
      </c>
      <c r="D26" s="4">
        <v>5.0000000000000001E-3</v>
      </c>
      <c r="E26" s="5">
        <f t="shared" si="3"/>
        <v>0.25</v>
      </c>
      <c r="F26" s="1">
        <v>0</v>
      </c>
      <c r="G26" s="1">
        <f t="shared" si="4"/>
        <v>0.25</v>
      </c>
    </row>
    <row r="27" spans="1:7" x14ac:dyDescent="0.2">
      <c r="A27" s="1" t="s">
        <v>69</v>
      </c>
      <c r="B27" s="3">
        <v>45116</v>
      </c>
      <c r="C27" s="1">
        <v>100</v>
      </c>
      <c r="D27" s="4">
        <v>5.0000000000000001E-3</v>
      </c>
      <c r="E27" s="5">
        <f t="shared" si="3"/>
        <v>0.25</v>
      </c>
      <c r="F27" s="1">
        <v>0</v>
      </c>
      <c r="G27" s="1">
        <f t="shared" si="4"/>
        <v>0.25</v>
      </c>
    </row>
    <row r="28" spans="1:7" x14ac:dyDescent="0.2">
      <c r="A28" s="1" t="s">
        <v>69</v>
      </c>
      <c r="B28" s="3">
        <v>45300</v>
      </c>
      <c r="C28" s="1">
        <v>100</v>
      </c>
      <c r="D28" s="4">
        <v>7.4999999999999997E-3</v>
      </c>
      <c r="E28" s="5">
        <f t="shared" si="3"/>
        <v>0.375</v>
      </c>
      <c r="F28" s="1">
        <v>0</v>
      </c>
      <c r="G28" s="1">
        <f t="shared" si="4"/>
        <v>0.375</v>
      </c>
    </row>
    <row r="29" spans="1:7" x14ac:dyDescent="0.2">
      <c r="A29" s="1" t="s">
        <v>69</v>
      </c>
      <c r="B29" s="3">
        <v>45482</v>
      </c>
      <c r="C29" s="1">
        <f>C28-F29</f>
        <v>96</v>
      </c>
      <c r="D29" s="4">
        <v>7.4999999999999997E-3</v>
      </c>
      <c r="E29" s="5">
        <f t="shared" si="3"/>
        <v>0.375</v>
      </c>
      <c r="F29" s="1">
        <v>4</v>
      </c>
      <c r="G29" s="1">
        <f t="shared" si="4"/>
        <v>4.375</v>
      </c>
    </row>
    <row r="30" spans="1:7" x14ac:dyDescent="0.2">
      <c r="A30" s="1" t="s">
        <v>69</v>
      </c>
      <c r="B30" s="3">
        <v>45666</v>
      </c>
      <c r="C30" s="1">
        <f t="shared" ref="C30:C41" si="5">C29-F30</f>
        <v>88</v>
      </c>
      <c r="D30" s="4">
        <v>7.4999999999999997E-3</v>
      </c>
      <c r="E30" s="5">
        <f t="shared" si="3"/>
        <v>0.36</v>
      </c>
      <c r="F30" s="1">
        <v>8</v>
      </c>
      <c r="G30" s="1">
        <f t="shared" si="4"/>
        <v>8.36</v>
      </c>
    </row>
    <row r="31" spans="1:7" x14ac:dyDescent="0.2">
      <c r="A31" s="1" t="s">
        <v>69</v>
      </c>
      <c r="B31" s="3">
        <v>45847</v>
      </c>
      <c r="C31" s="1">
        <f t="shared" si="5"/>
        <v>80</v>
      </c>
      <c r="D31" s="4">
        <v>7.4999999999999997E-3</v>
      </c>
      <c r="E31" s="5">
        <f t="shared" si="3"/>
        <v>0.32999999999999996</v>
      </c>
      <c r="F31" s="1">
        <v>8</v>
      </c>
      <c r="G31" s="1">
        <f t="shared" si="4"/>
        <v>8.33</v>
      </c>
    </row>
    <row r="32" spans="1:7" x14ac:dyDescent="0.2">
      <c r="A32" s="1" t="s">
        <v>69</v>
      </c>
      <c r="B32" s="3">
        <v>46031</v>
      </c>
      <c r="C32" s="1">
        <f t="shared" si="5"/>
        <v>72</v>
      </c>
      <c r="D32" s="4">
        <v>7.4999999999999997E-3</v>
      </c>
      <c r="E32" s="5">
        <f t="shared" si="3"/>
        <v>0.3</v>
      </c>
      <c r="F32" s="1">
        <v>8</v>
      </c>
      <c r="G32" s="1">
        <f t="shared" si="4"/>
        <v>8.3000000000000007</v>
      </c>
    </row>
    <row r="33" spans="1:7" x14ac:dyDescent="0.2">
      <c r="A33" s="1" t="s">
        <v>69</v>
      </c>
      <c r="B33" s="3">
        <v>46212</v>
      </c>
      <c r="C33" s="1">
        <f t="shared" si="5"/>
        <v>64</v>
      </c>
      <c r="D33" s="4">
        <v>7.4999999999999997E-3</v>
      </c>
      <c r="E33" s="5">
        <f t="shared" si="3"/>
        <v>0.27</v>
      </c>
      <c r="F33" s="1">
        <v>8</v>
      </c>
      <c r="G33" s="1">
        <f t="shared" si="4"/>
        <v>8.27</v>
      </c>
    </row>
    <row r="34" spans="1:7" x14ac:dyDescent="0.2">
      <c r="A34" s="1" t="s">
        <v>69</v>
      </c>
      <c r="B34" s="3">
        <v>46396</v>
      </c>
      <c r="C34" s="1">
        <f t="shared" si="5"/>
        <v>56</v>
      </c>
      <c r="D34" s="4">
        <v>7.4999999999999997E-3</v>
      </c>
      <c r="E34" s="5">
        <f t="shared" si="3"/>
        <v>0.24</v>
      </c>
      <c r="F34" s="1">
        <v>8</v>
      </c>
      <c r="G34" s="1">
        <f t="shared" si="4"/>
        <v>8.24</v>
      </c>
    </row>
    <row r="35" spans="1:7" x14ac:dyDescent="0.2">
      <c r="A35" s="1" t="s">
        <v>69</v>
      </c>
      <c r="B35" s="3">
        <v>46577</v>
      </c>
      <c r="C35" s="1">
        <f t="shared" si="5"/>
        <v>48</v>
      </c>
      <c r="D35" s="4">
        <v>7.4999999999999997E-3</v>
      </c>
      <c r="E35" s="5">
        <f t="shared" si="3"/>
        <v>0.20999999999999996</v>
      </c>
      <c r="F35" s="1">
        <v>8</v>
      </c>
      <c r="G35" s="1">
        <f t="shared" si="4"/>
        <v>8.2100000000000009</v>
      </c>
    </row>
    <row r="36" spans="1:7" x14ac:dyDescent="0.2">
      <c r="A36" s="1" t="s">
        <v>69</v>
      </c>
      <c r="B36" s="3">
        <v>46761</v>
      </c>
      <c r="C36" s="1">
        <f t="shared" si="5"/>
        <v>40</v>
      </c>
      <c r="D36" s="4">
        <v>1.7500000000000002E-2</v>
      </c>
      <c r="E36" s="5">
        <f t="shared" si="3"/>
        <v>0.42000000000000004</v>
      </c>
      <c r="F36" s="1">
        <v>8</v>
      </c>
      <c r="G36" s="1">
        <f t="shared" si="4"/>
        <v>8.42</v>
      </c>
    </row>
    <row r="37" spans="1:7" x14ac:dyDescent="0.2">
      <c r="A37" s="1" t="s">
        <v>69</v>
      </c>
      <c r="B37" s="3">
        <v>46943</v>
      </c>
      <c r="C37" s="1">
        <f t="shared" si="5"/>
        <v>32</v>
      </c>
      <c r="D37" s="4">
        <v>1.7500000000000002E-2</v>
      </c>
      <c r="E37" s="5">
        <f t="shared" si="3"/>
        <v>0.35000000000000003</v>
      </c>
      <c r="F37" s="1">
        <v>8</v>
      </c>
      <c r="G37" s="1">
        <f t="shared" si="4"/>
        <v>8.35</v>
      </c>
    </row>
    <row r="38" spans="1:7" x14ac:dyDescent="0.2">
      <c r="A38" s="1" t="s">
        <v>69</v>
      </c>
      <c r="B38" s="3">
        <v>47127</v>
      </c>
      <c r="C38" s="1">
        <f t="shared" si="5"/>
        <v>24</v>
      </c>
      <c r="D38" s="4">
        <v>1.7500000000000002E-2</v>
      </c>
      <c r="E38" s="5">
        <f t="shared" si="3"/>
        <v>0.28000000000000003</v>
      </c>
      <c r="F38" s="1">
        <v>8</v>
      </c>
      <c r="G38" s="1">
        <f t="shared" si="4"/>
        <v>8.2799999999999994</v>
      </c>
    </row>
    <row r="39" spans="1:7" x14ac:dyDescent="0.2">
      <c r="A39" s="1" t="s">
        <v>69</v>
      </c>
      <c r="B39" s="3">
        <v>47308</v>
      </c>
      <c r="C39" s="1">
        <f t="shared" si="5"/>
        <v>16</v>
      </c>
      <c r="D39" s="4">
        <v>1.7500000000000002E-2</v>
      </c>
      <c r="E39" s="5">
        <f t="shared" si="3"/>
        <v>0.21000000000000002</v>
      </c>
      <c r="F39" s="1">
        <v>8</v>
      </c>
      <c r="G39" s="1">
        <f t="shared" si="4"/>
        <v>8.2100000000000009</v>
      </c>
    </row>
    <row r="40" spans="1:7" x14ac:dyDescent="0.2">
      <c r="A40" s="1" t="s">
        <v>69</v>
      </c>
      <c r="B40" s="3">
        <v>47492</v>
      </c>
      <c r="C40" s="1">
        <f t="shared" si="5"/>
        <v>8</v>
      </c>
      <c r="D40" s="4">
        <v>1.7500000000000002E-2</v>
      </c>
      <c r="E40" s="5">
        <f t="shared" si="3"/>
        <v>0.14000000000000001</v>
      </c>
      <c r="F40" s="1">
        <v>8</v>
      </c>
      <c r="G40" s="1">
        <f t="shared" si="4"/>
        <v>8.14</v>
      </c>
    </row>
    <row r="41" spans="1:7" x14ac:dyDescent="0.2">
      <c r="A41" s="1" t="s">
        <v>69</v>
      </c>
      <c r="B41" s="3">
        <v>47673</v>
      </c>
      <c r="C41" s="1">
        <f t="shared" si="5"/>
        <v>0</v>
      </c>
      <c r="D41" s="4">
        <v>1.7500000000000002E-2</v>
      </c>
      <c r="E41" s="5">
        <f t="shared" si="3"/>
        <v>7.0000000000000007E-2</v>
      </c>
      <c r="F41" s="1">
        <v>8</v>
      </c>
      <c r="G41" s="1">
        <f t="shared" si="4"/>
        <v>8.07</v>
      </c>
    </row>
    <row r="43" spans="1:7" x14ac:dyDescent="0.2">
      <c r="A43" s="2" t="s">
        <v>0</v>
      </c>
      <c r="B43" s="2" t="s">
        <v>10</v>
      </c>
      <c r="C43" s="2" t="s">
        <v>11</v>
      </c>
      <c r="D43" s="2" t="s">
        <v>14</v>
      </c>
      <c r="E43" s="2" t="s">
        <v>12</v>
      </c>
      <c r="F43" s="2" t="s">
        <v>13</v>
      </c>
      <c r="G43" s="2" t="s">
        <v>15</v>
      </c>
    </row>
    <row r="44" spans="1:7" x14ac:dyDescent="0.2">
      <c r="A44" s="1" t="s">
        <v>70</v>
      </c>
      <c r="B44" s="3">
        <v>44078</v>
      </c>
      <c r="C44" s="1">
        <v>100</v>
      </c>
      <c r="D44" s="1">
        <v>0</v>
      </c>
      <c r="E44" s="1">
        <v>0</v>
      </c>
      <c r="F44" s="1">
        <v>0</v>
      </c>
      <c r="G44" s="1">
        <f>F44+E44</f>
        <v>0</v>
      </c>
    </row>
    <row r="45" spans="1:7" x14ac:dyDescent="0.2">
      <c r="A45" s="1" t="s">
        <v>70</v>
      </c>
      <c r="B45" s="3">
        <v>44386</v>
      </c>
      <c r="C45" s="1">
        <v>100</v>
      </c>
      <c r="D45" s="4">
        <v>1.25E-3</v>
      </c>
      <c r="E45" s="5">
        <f t="shared" ref="E45:E73" si="6">((D45*C44)/360)*DAYS360(B44,B45)</f>
        <v>0.10590277777777778</v>
      </c>
      <c r="F45" s="1">
        <v>0</v>
      </c>
      <c r="G45" s="1">
        <f t="shared" ref="G45:G73" si="7">F45+E45</f>
        <v>0.10590277777777778</v>
      </c>
    </row>
    <row r="46" spans="1:7" x14ac:dyDescent="0.2">
      <c r="A46" s="1" t="s">
        <v>70</v>
      </c>
      <c r="B46" s="3">
        <v>44570</v>
      </c>
      <c r="C46" s="1">
        <v>100</v>
      </c>
      <c r="D46" s="4">
        <v>1.125E-2</v>
      </c>
      <c r="E46" s="5">
        <f t="shared" si="6"/>
        <v>0.5625</v>
      </c>
      <c r="F46" s="1">
        <v>0</v>
      </c>
      <c r="G46" s="1">
        <f t="shared" si="7"/>
        <v>0.5625</v>
      </c>
    </row>
    <row r="47" spans="1:7" x14ac:dyDescent="0.2">
      <c r="A47" s="1" t="s">
        <v>70</v>
      </c>
      <c r="B47" s="3">
        <v>44751</v>
      </c>
      <c r="C47" s="1">
        <v>100</v>
      </c>
      <c r="D47" s="4">
        <v>1.125E-2</v>
      </c>
      <c r="E47" s="5">
        <f t="shared" si="6"/>
        <v>0.5625</v>
      </c>
      <c r="F47" s="1">
        <v>0</v>
      </c>
      <c r="G47" s="1">
        <f t="shared" si="7"/>
        <v>0.5625</v>
      </c>
    </row>
    <row r="48" spans="1:7" x14ac:dyDescent="0.2">
      <c r="A48" s="1" t="s">
        <v>70</v>
      </c>
      <c r="B48" s="3">
        <v>44935</v>
      </c>
      <c r="C48" s="1">
        <v>100</v>
      </c>
      <c r="D48" s="4">
        <v>1.4999999999999999E-2</v>
      </c>
      <c r="E48" s="5">
        <f t="shared" si="6"/>
        <v>0.75</v>
      </c>
      <c r="F48" s="1">
        <v>0</v>
      </c>
      <c r="G48" s="1">
        <f t="shared" si="7"/>
        <v>0.75</v>
      </c>
    </row>
    <row r="49" spans="1:7" x14ac:dyDescent="0.2">
      <c r="A49" s="1" t="s">
        <v>70</v>
      </c>
      <c r="B49" s="3">
        <v>45116</v>
      </c>
      <c r="C49" s="1">
        <v>100</v>
      </c>
      <c r="D49" s="4">
        <v>1.4999999999999999E-2</v>
      </c>
      <c r="E49" s="5">
        <f t="shared" si="6"/>
        <v>0.75</v>
      </c>
      <c r="F49" s="1">
        <v>0</v>
      </c>
      <c r="G49" s="1">
        <f t="shared" si="7"/>
        <v>0.75</v>
      </c>
    </row>
    <row r="50" spans="1:7" x14ac:dyDescent="0.2">
      <c r="A50" s="1" t="s">
        <v>70</v>
      </c>
      <c r="B50" s="3">
        <v>45300</v>
      </c>
      <c r="C50" s="1">
        <v>100</v>
      </c>
      <c r="D50" s="4">
        <v>3.6249999999999998E-2</v>
      </c>
      <c r="E50" s="5">
        <f t="shared" si="6"/>
        <v>1.8124999999999998</v>
      </c>
      <c r="F50" s="1">
        <v>0</v>
      </c>
      <c r="G50" s="1">
        <f t="shared" si="7"/>
        <v>1.8124999999999998</v>
      </c>
    </row>
    <row r="51" spans="1:7" x14ac:dyDescent="0.2">
      <c r="A51" s="1" t="s">
        <v>70</v>
      </c>
      <c r="B51" s="3">
        <v>45482</v>
      </c>
      <c r="C51" s="1">
        <v>100</v>
      </c>
      <c r="D51" s="4">
        <v>3.6249999999999998E-2</v>
      </c>
      <c r="E51" s="5">
        <f t="shared" si="6"/>
        <v>1.8124999999999998</v>
      </c>
      <c r="F51" s="1">
        <v>0</v>
      </c>
      <c r="G51" s="1">
        <f t="shared" si="7"/>
        <v>1.8124999999999998</v>
      </c>
    </row>
    <row r="52" spans="1:7" x14ac:dyDescent="0.2">
      <c r="A52" s="1" t="s">
        <v>70</v>
      </c>
      <c r="B52" s="3">
        <v>45666</v>
      </c>
      <c r="C52" s="1">
        <v>100</v>
      </c>
      <c r="D52" s="4">
        <v>4.1250000000000002E-2</v>
      </c>
      <c r="E52" s="5">
        <f t="shared" si="6"/>
        <v>2.0625</v>
      </c>
      <c r="F52" s="1">
        <v>0</v>
      </c>
      <c r="G52" s="1">
        <f t="shared" si="7"/>
        <v>2.0625</v>
      </c>
    </row>
    <row r="53" spans="1:7" x14ac:dyDescent="0.2">
      <c r="A53" s="1" t="s">
        <v>70</v>
      </c>
      <c r="B53" s="3">
        <v>45847</v>
      </c>
      <c r="C53" s="1">
        <v>100</v>
      </c>
      <c r="D53" s="4">
        <v>4.1250000000000002E-2</v>
      </c>
      <c r="E53" s="5">
        <f t="shared" si="6"/>
        <v>2.0625</v>
      </c>
      <c r="F53" s="1">
        <v>0</v>
      </c>
      <c r="G53" s="1">
        <f t="shared" si="7"/>
        <v>2.0625</v>
      </c>
    </row>
    <row r="54" spans="1:7" x14ac:dyDescent="0.2">
      <c r="A54" s="1" t="s">
        <v>70</v>
      </c>
      <c r="B54" s="3">
        <v>46031</v>
      </c>
      <c r="C54" s="1">
        <v>100</v>
      </c>
      <c r="D54" s="4">
        <v>4.1250000000000002E-2</v>
      </c>
      <c r="E54" s="5">
        <f t="shared" si="6"/>
        <v>2.0625</v>
      </c>
      <c r="F54" s="1">
        <v>0</v>
      </c>
      <c r="G54" s="1">
        <f t="shared" si="7"/>
        <v>2.0625</v>
      </c>
    </row>
    <row r="55" spans="1:7" x14ac:dyDescent="0.2">
      <c r="A55" s="1" t="s">
        <v>70</v>
      </c>
      <c r="B55" s="3">
        <v>46212</v>
      </c>
      <c r="C55" s="1">
        <v>100</v>
      </c>
      <c r="D55" s="4">
        <v>4.1250000000000002E-2</v>
      </c>
      <c r="E55" s="5">
        <f t="shared" si="6"/>
        <v>2.0625</v>
      </c>
      <c r="F55" s="1">
        <v>0</v>
      </c>
      <c r="G55" s="1">
        <f t="shared" si="7"/>
        <v>2.0625</v>
      </c>
    </row>
    <row r="56" spans="1:7" x14ac:dyDescent="0.2">
      <c r="A56" s="1" t="s">
        <v>70</v>
      </c>
      <c r="B56" s="3">
        <v>46396</v>
      </c>
      <c r="C56" s="1">
        <v>100</v>
      </c>
      <c r="D56" s="4">
        <v>4.1250000000000002E-2</v>
      </c>
      <c r="E56" s="5">
        <f t="shared" si="6"/>
        <v>2.0625</v>
      </c>
      <c r="F56" s="1">
        <v>0</v>
      </c>
      <c r="G56" s="1">
        <f t="shared" si="7"/>
        <v>2.0625</v>
      </c>
    </row>
    <row r="57" spans="1:7" x14ac:dyDescent="0.2">
      <c r="A57" s="1" t="s">
        <v>70</v>
      </c>
      <c r="B57" s="3">
        <v>46577</v>
      </c>
      <c r="C57" s="1">
        <v>100</v>
      </c>
      <c r="D57" s="4">
        <v>4.1250000000000002E-2</v>
      </c>
      <c r="E57" s="5">
        <f t="shared" si="6"/>
        <v>2.0625</v>
      </c>
      <c r="F57" s="1">
        <v>0</v>
      </c>
      <c r="G57" s="1">
        <f t="shared" si="7"/>
        <v>2.0625</v>
      </c>
    </row>
    <row r="58" spans="1:7" x14ac:dyDescent="0.2">
      <c r="A58" s="1" t="s">
        <v>70</v>
      </c>
      <c r="B58" s="3">
        <v>46761</v>
      </c>
      <c r="C58" s="1">
        <v>100</v>
      </c>
      <c r="D58" s="4">
        <v>4.7500000000000001E-2</v>
      </c>
      <c r="E58" s="5">
        <f t="shared" si="6"/>
        <v>2.375</v>
      </c>
      <c r="F58" s="1">
        <v>0</v>
      </c>
      <c r="G58" s="1">
        <f t="shared" si="7"/>
        <v>2.375</v>
      </c>
    </row>
    <row r="59" spans="1:7" x14ac:dyDescent="0.2">
      <c r="A59" s="1" t="s">
        <v>70</v>
      </c>
      <c r="B59" s="3">
        <v>46943</v>
      </c>
      <c r="C59" s="1">
        <v>100</v>
      </c>
      <c r="D59" s="4">
        <v>4.7500000000000001E-2</v>
      </c>
      <c r="E59" s="5">
        <f t="shared" si="6"/>
        <v>2.375</v>
      </c>
      <c r="F59" s="1">
        <v>0</v>
      </c>
      <c r="G59" s="1">
        <f t="shared" si="7"/>
        <v>2.375</v>
      </c>
    </row>
    <row r="60" spans="1:7" x14ac:dyDescent="0.2">
      <c r="A60" s="1" t="s">
        <v>70</v>
      </c>
      <c r="B60" s="3">
        <v>47127</v>
      </c>
      <c r="C60" s="1">
        <v>100</v>
      </c>
      <c r="D60" s="4">
        <v>0.05</v>
      </c>
      <c r="E60" s="5">
        <f t="shared" si="6"/>
        <v>2.5</v>
      </c>
      <c r="F60" s="1">
        <v>0</v>
      </c>
      <c r="G60" s="1">
        <f t="shared" si="7"/>
        <v>2.5</v>
      </c>
    </row>
    <row r="61" spans="1:7" x14ac:dyDescent="0.2">
      <c r="A61" s="1" t="s">
        <v>70</v>
      </c>
      <c r="B61" s="3">
        <v>47308</v>
      </c>
      <c r="C61" s="1">
        <v>100</v>
      </c>
      <c r="D61" s="4">
        <v>0.05</v>
      </c>
      <c r="E61" s="5">
        <f t="shared" si="6"/>
        <v>2.5</v>
      </c>
      <c r="F61" s="1">
        <v>0</v>
      </c>
      <c r="G61" s="1">
        <f t="shared" si="7"/>
        <v>2.5</v>
      </c>
    </row>
    <row r="62" spans="1:7" x14ac:dyDescent="0.2">
      <c r="A62" s="1" t="s">
        <v>70</v>
      </c>
      <c r="B62" s="3">
        <v>47492</v>
      </c>
      <c r="C62" s="1">
        <v>100</v>
      </c>
      <c r="D62" s="4">
        <v>0.05</v>
      </c>
      <c r="E62" s="5">
        <f t="shared" si="6"/>
        <v>2.5</v>
      </c>
      <c r="F62" s="1">
        <v>0</v>
      </c>
      <c r="G62" s="1">
        <f t="shared" si="7"/>
        <v>2.5</v>
      </c>
    </row>
    <row r="63" spans="1:7" x14ac:dyDescent="0.2">
      <c r="A63" s="1" t="s">
        <v>70</v>
      </c>
      <c r="B63" s="3">
        <v>47673</v>
      </c>
      <c r="C63" s="1">
        <v>100</v>
      </c>
      <c r="D63" s="4">
        <v>0.05</v>
      </c>
      <c r="E63" s="5">
        <f t="shared" si="6"/>
        <v>2.5</v>
      </c>
      <c r="F63" s="1">
        <v>0</v>
      </c>
      <c r="G63" s="1">
        <f t="shared" si="7"/>
        <v>2.5</v>
      </c>
    </row>
    <row r="64" spans="1:7" x14ac:dyDescent="0.2">
      <c r="A64" s="1" t="s">
        <v>70</v>
      </c>
      <c r="B64" s="3">
        <v>47857</v>
      </c>
      <c r="C64" s="1">
        <f>C63-F64</f>
        <v>90</v>
      </c>
      <c r="D64" s="4">
        <v>0.05</v>
      </c>
      <c r="E64" s="5">
        <f t="shared" si="6"/>
        <v>2.5</v>
      </c>
      <c r="F64" s="1">
        <v>10</v>
      </c>
      <c r="G64" s="1">
        <f t="shared" si="7"/>
        <v>12.5</v>
      </c>
    </row>
    <row r="65" spans="1:7" x14ac:dyDescent="0.2">
      <c r="A65" s="1" t="s">
        <v>70</v>
      </c>
      <c r="B65" s="3">
        <v>48038</v>
      </c>
      <c r="C65" s="1">
        <f t="shared" ref="C65:C73" si="8">C64-F65</f>
        <v>80</v>
      </c>
      <c r="D65" s="4">
        <v>0.05</v>
      </c>
      <c r="E65" s="5">
        <f t="shared" si="6"/>
        <v>2.25</v>
      </c>
      <c r="F65" s="1">
        <v>10</v>
      </c>
      <c r="G65" s="1">
        <f t="shared" si="7"/>
        <v>12.25</v>
      </c>
    </row>
    <row r="66" spans="1:7" x14ac:dyDescent="0.2">
      <c r="A66" s="1" t="s">
        <v>70</v>
      </c>
      <c r="B66" s="3">
        <v>48222</v>
      </c>
      <c r="C66" s="1">
        <f t="shared" si="8"/>
        <v>70</v>
      </c>
      <c r="D66" s="4">
        <v>0.05</v>
      </c>
      <c r="E66" s="5">
        <f t="shared" si="6"/>
        <v>2</v>
      </c>
      <c r="F66" s="1">
        <v>10</v>
      </c>
      <c r="G66" s="1">
        <f t="shared" si="7"/>
        <v>12</v>
      </c>
    </row>
    <row r="67" spans="1:7" x14ac:dyDescent="0.2">
      <c r="A67" s="1" t="s">
        <v>70</v>
      </c>
      <c r="B67" s="3">
        <v>48404</v>
      </c>
      <c r="C67" s="1">
        <f t="shared" si="8"/>
        <v>60</v>
      </c>
      <c r="D67" s="4">
        <v>0.05</v>
      </c>
      <c r="E67" s="5">
        <f t="shared" si="6"/>
        <v>1.75</v>
      </c>
      <c r="F67" s="1">
        <v>10</v>
      </c>
      <c r="G67" s="1">
        <f t="shared" si="7"/>
        <v>11.75</v>
      </c>
    </row>
    <row r="68" spans="1:7" x14ac:dyDescent="0.2">
      <c r="A68" s="1" t="s">
        <v>70</v>
      </c>
      <c r="B68" s="3">
        <v>48588</v>
      </c>
      <c r="C68" s="1">
        <f t="shared" si="8"/>
        <v>50</v>
      </c>
      <c r="D68" s="4">
        <v>0.05</v>
      </c>
      <c r="E68" s="5">
        <f t="shared" si="6"/>
        <v>1.5</v>
      </c>
      <c r="F68" s="1">
        <v>10</v>
      </c>
      <c r="G68" s="1">
        <f t="shared" si="7"/>
        <v>11.5</v>
      </c>
    </row>
    <row r="69" spans="1:7" x14ac:dyDescent="0.2">
      <c r="A69" s="1" t="s">
        <v>70</v>
      </c>
      <c r="B69" s="3">
        <v>48769</v>
      </c>
      <c r="C69" s="1">
        <f t="shared" si="8"/>
        <v>40</v>
      </c>
      <c r="D69" s="4">
        <v>0.05</v>
      </c>
      <c r="E69" s="5">
        <f t="shared" si="6"/>
        <v>1.25</v>
      </c>
      <c r="F69" s="1">
        <v>10</v>
      </c>
      <c r="G69" s="1">
        <f t="shared" si="7"/>
        <v>11.25</v>
      </c>
    </row>
    <row r="70" spans="1:7" x14ac:dyDescent="0.2">
      <c r="A70" s="1" t="s">
        <v>70</v>
      </c>
      <c r="B70" s="3">
        <v>48953</v>
      </c>
      <c r="C70" s="1">
        <f t="shared" si="8"/>
        <v>30</v>
      </c>
      <c r="D70" s="4">
        <v>0.05</v>
      </c>
      <c r="E70" s="5">
        <f t="shared" si="6"/>
        <v>1</v>
      </c>
      <c r="F70" s="1">
        <v>10</v>
      </c>
      <c r="G70" s="1">
        <f t="shared" si="7"/>
        <v>11</v>
      </c>
    </row>
    <row r="71" spans="1:7" x14ac:dyDescent="0.2">
      <c r="A71" s="1" t="s">
        <v>70</v>
      </c>
      <c r="B71" s="3">
        <v>49134</v>
      </c>
      <c r="C71" s="1">
        <f t="shared" si="8"/>
        <v>20</v>
      </c>
      <c r="D71" s="4">
        <v>0.05</v>
      </c>
      <c r="E71" s="5">
        <f t="shared" si="6"/>
        <v>0.75</v>
      </c>
      <c r="F71" s="1">
        <v>10</v>
      </c>
      <c r="G71" s="1">
        <f t="shared" si="7"/>
        <v>10.75</v>
      </c>
    </row>
    <row r="72" spans="1:7" x14ac:dyDescent="0.2">
      <c r="A72" s="1" t="s">
        <v>70</v>
      </c>
      <c r="B72" s="3">
        <v>49318</v>
      </c>
      <c r="C72" s="1">
        <f t="shared" si="8"/>
        <v>10</v>
      </c>
      <c r="D72" s="4">
        <v>0.05</v>
      </c>
      <c r="E72" s="5">
        <f t="shared" si="6"/>
        <v>0.5</v>
      </c>
      <c r="F72" s="1">
        <v>10</v>
      </c>
      <c r="G72" s="1">
        <f t="shared" si="7"/>
        <v>10.5</v>
      </c>
    </row>
    <row r="73" spans="1:7" x14ac:dyDescent="0.2">
      <c r="A73" s="1" t="s">
        <v>70</v>
      </c>
      <c r="B73" s="3">
        <v>49499</v>
      </c>
      <c r="C73" s="1">
        <f t="shared" si="8"/>
        <v>0</v>
      </c>
      <c r="D73" s="4">
        <v>0.05</v>
      </c>
      <c r="E73" s="5">
        <f t="shared" si="6"/>
        <v>0.25</v>
      </c>
      <c r="F73" s="1">
        <v>10</v>
      </c>
      <c r="G73" s="1">
        <f t="shared" si="7"/>
        <v>10.25</v>
      </c>
    </row>
    <row r="74" spans="1:7" x14ac:dyDescent="0.2">
      <c r="A74" s="1"/>
      <c r="B74" s="3"/>
      <c r="C74" s="1"/>
      <c r="D74" s="4"/>
      <c r="E74" s="5"/>
      <c r="F74" s="1"/>
      <c r="G74" s="1"/>
    </row>
    <row r="75" spans="1:7" x14ac:dyDescent="0.2">
      <c r="A75" s="2" t="s">
        <v>0</v>
      </c>
      <c r="B75" s="2" t="s">
        <v>10</v>
      </c>
      <c r="C75" s="2" t="s">
        <v>11</v>
      </c>
      <c r="D75" s="2" t="s">
        <v>14</v>
      </c>
      <c r="E75" s="2" t="s">
        <v>12</v>
      </c>
      <c r="F75" s="2" t="s">
        <v>13</v>
      </c>
      <c r="G75" s="2" t="s">
        <v>15</v>
      </c>
    </row>
    <row r="76" spans="1:7" x14ac:dyDescent="0.2">
      <c r="A76" s="1" t="s">
        <v>71</v>
      </c>
      <c r="B76" s="3">
        <v>44078</v>
      </c>
      <c r="C76" s="1">
        <v>100</v>
      </c>
      <c r="D76" s="1">
        <v>0</v>
      </c>
      <c r="E76" s="1">
        <v>0</v>
      </c>
      <c r="F76" s="1">
        <v>0</v>
      </c>
      <c r="G76" s="1">
        <f>F76+E76</f>
        <v>0</v>
      </c>
    </row>
    <row r="77" spans="1:7" x14ac:dyDescent="0.2">
      <c r="A77" s="1" t="s">
        <v>71</v>
      </c>
      <c r="B77" s="3">
        <v>44386</v>
      </c>
      <c r="C77" s="1">
        <v>100</v>
      </c>
      <c r="D77" s="4">
        <v>1.25E-3</v>
      </c>
      <c r="E77" s="5">
        <f t="shared" ref="E77:E110" si="9">((D77*C76)/360)*DAYS360(B76,B77)</f>
        <v>0.10590277777777778</v>
      </c>
      <c r="F77" s="1">
        <v>0</v>
      </c>
      <c r="G77" s="1">
        <f t="shared" ref="G77:G110" si="10">F77+E77</f>
        <v>0.10590277777777778</v>
      </c>
    </row>
    <row r="78" spans="1:7" x14ac:dyDescent="0.2">
      <c r="A78" s="1" t="s">
        <v>71</v>
      </c>
      <c r="B78" s="3">
        <v>44570</v>
      </c>
      <c r="C78" s="1">
        <v>100</v>
      </c>
      <c r="D78" s="4">
        <v>1.125E-2</v>
      </c>
      <c r="E78" s="5">
        <f t="shared" si="9"/>
        <v>0.5625</v>
      </c>
      <c r="F78" s="1">
        <v>0</v>
      </c>
      <c r="G78" s="1">
        <f t="shared" si="10"/>
        <v>0.5625</v>
      </c>
    </row>
    <row r="79" spans="1:7" x14ac:dyDescent="0.2">
      <c r="A79" s="1" t="s">
        <v>71</v>
      </c>
      <c r="B79" s="3">
        <v>44751</v>
      </c>
      <c r="C79" s="1">
        <v>100</v>
      </c>
      <c r="D79" s="4">
        <v>1.125E-2</v>
      </c>
      <c r="E79" s="5">
        <f t="shared" si="9"/>
        <v>0.5625</v>
      </c>
      <c r="F79" s="1">
        <v>0</v>
      </c>
      <c r="G79" s="1">
        <f t="shared" si="10"/>
        <v>0.5625</v>
      </c>
    </row>
    <row r="80" spans="1:7" x14ac:dyDescent="0.2">
      <c r="A80" s="1" t="s">
        <v>71</v>
      </c>
      <c r="B80" s="3">
        <v>44935</v>
      </c>
      <c r="C80" s="1">
        <v>100</v>
      </c>
      <c r="D80" s="4">
        <v>1.4999999999999999E-2</v>
      </c>
      <c r="E80" s="5">
        <f t="shared" si="9"/>
        <v>0.75</v>
      </c>
      <c r="F80" s="1">
        <v>0</v>
      </c>
      <c r="G80" s="1">
        <f t="shared" si="10"/>
        <v>0.75</v>
      </c>
    </row>
    <row r="81" spans="1:7" x14ac:dyDescent="0.2">
      <c r="A81" s="1" t="s">
        <v>71</v>
      </c>
      <c r="B81" s="3">
        <v>45116</v>
      </c>
      <c r="C81" s="1">
        <v>100</v>
      </c>
      <c r="D81" s="4">
        <v>1.4999999999999999E-2</v>
      </c>
      <c r="E81" s="5">
        <f t="shared" si="9"/>
        <v>0.75</v>
      </c>
      <c r="F81" s="1">
        <v>0</v>
      </c>
      <c r="G81" s="1">
        <f t="shared" si="10"/>
        <v>0.75</v>
      </c>
    </row>
    <row r="82" spans="1:7" x14ac:dyDescent="0.2">
      <c r="A82" s="1" t="s">
        <v>71</v>
      </c>
      <c r="B82" s="3">
        <v>45300</v>
      </c>
      <c r="C82" s="1">
        <v>100</v>
      </c>
      <c r="D82" s="4">
        <v>3.6249999999999998E-2</v>
      </c>
      <c r="E82" s="5">
        <f t="shared" si="9"/>
        <v>1.8124999999999998</v>
      </c>
      <c r="F82" s="1">
        <v>0</v>
      </c>
      <c r="G82" s="1">
        <f t="shared" si="10"/>
        <v>1.8124999999999998</v>
      </c>
    </row>
    <row r="83" spans="1:7" x14ac:dyDescent="0.2">
      <c r="A83" s="1" t="s">
        <v>71</v>
      </c>
      <c r="B83" s="3">
        <v>45482</v>
      </c>
      <c r="C83" s="1">
        <v>100</v>
      </c>
      <c r="D83" s="4">
        <v>3.6249999999999998E-2</v>
      </c>
      <c r="E83" s="5">
        <f t="shared" si="9"/>
        <v>1.8124999999999998</v>
      </c>
      <c r="F83" s="1">
        <v>0</v>
      </c>
      <c r="G83" s="1">
        <f t="shared" si="10"/>
        <v>1.8124999999999998</v>
      </c>
    </row>
    <row r="84" spans="1:7" x14ac:dyDescent="0.2">
      <c r="A84" s="1" t="s">
        <v>71</v>
      </c>
      <c r="B84" s="3">
        <v>45666</v>
      </c>
      <c r="C84" s="1">
        <v>100</v>
      </c>
      <c r="D84" s="4">
        <v>4.1250000000000002E-2</v>
      </c>
      <c r="E84" s="5">
        <f t="shared" si="9"/>
        <v>2.0625</v>
      </c>
      <c r="F84" s="1">
        <v>0</v>
      </c>
      <c r="G84" s="1">
        <f t="shared" si="10"/>
        <v>2.0625</v>
      </c>
    </row>
    <row r="85" spans="1:7" x14ac:dyDescent="0.2">
      <c r="A85" s="1" t="s">
        <v>71</v>
      </c>
      <c r="B85" s="3">
        <v>45847</v>
      </c>
      <c r="C85" s="1">
        <v>100</v>
      </c>
      <c r="D85" s="4">
        <v>4.1250000000000002E-2</v>
      </c>
      <c r="E85" s="5">
        <f t="shared" si="9"/>
        <v>2.0625</v>
      </c>
      <c r="F85" s="1">
        <v>0</v>
      </c>
      <c r="G85" s="1">
        <f t="shared" si="10"/>
        <v>2.0625</v>
      </c>
    </row>
    <row r="86" spans="1:7" x14ac:dyDescent="0.2">
      <c r="A86" s="1" t="s">
        <v>71</v>
      </c>
      <c r="B86" s="3">
        <v>46031</v>
      </c>
      <c r="C86" s="1">
        <v>100</v>
      </c>
      <c r="D86" s="4">
        <v>4.1250000000000002E-2</v>
      </c>
      <c r="E86" s="5">
        <f t="shared" si="9"/>
        <v>2.0625</v>
      </c>
      <c r="F86" s="1">
        <v>0</v>
      </c>
      <c r="G86" s="1">
        <f t="shared" si="10"/>
        <v>2.0625</v>
      </c>
    </row>
    <row r="87" spans="1:7" x14ac:dyDescent="0.2">
      <c r="A87" s="1" t="s">
        <v>71</v>
      </c>
      <c r="B87" s="3">
        <v>46212</v>
      </c>
      <c r="C87" s="1">
        <v>100</v>
      </c>
      <c r="D87" s="4">
        <v>4.1250000000000002E-2</v>
      </c>
      <c r="E87" s="5">
        <f t="shared" si="9"/>
        <v>2.0625</v>
      </c>
      <c r="F87" s="1">
        <v>0</v>
      </c>
      <c r="G87" s="1">
        <f t="shared" si="10"/>
        <v>2.0625</v>
      </c>
    </row>
    <row r="88" spans="1:7" x14ac:dyDescent="0.2">
      <c r="A88" s="1" t="s">
        <v>71</v>
      </c>
      <c r="B88" s="3">
        <v>46396</v>
      </c>
      <c r="C88" s="1">
        <v>100</v>
      </c>
      <c r="D88" s="4">
        <v>4.1250000000000002E-2</v>
      </c>
      <c r="E88" s="5">
        <f t="shared" si="9"/>
        <v>2.0625</v>
      </c>
      <c r="F88" s="1">
        <v>0</v>
      </c>
      <c r="G88" s="1">
        <f t="shared" si="10"/>
        <v>2.0625</v>
      </c>
    </row>
    <row r="89" spans="1:7" x14ac:dyDescent="0.2">
      <c r="A89" s="1" t="s">
        <v>71</v>
      </c>
      <c r="B89" s="3">
        <v>46577</v>
      </c>
      <c r="C89" s="1">
        <f>C88-F89</f>
        <v>95.454599999999999</v>
      </c>
      <c r="D89" s="4">
        <v>4.1250000000000002E-2</v>
      </c>
      <c r="E89" s="5">
        <f t="shared" si="9"/>
        <v>2.0625</v>
      </c>
      <c r="F89" s="1">
        <v>4.5453999999999999</v>
      </c>
      <c r="G89" s="1">
        <f t="shared" si="10"/>
        <v>6.6078999999999999</v>
      </c>
    </row>
    <row r="90" spans="1:7" x14ac:dyDescent="0.2">
      <c r="A90" s="1" t="s">
        <v>71</v>
      </c>
      <c r="B90" s="3">
        <v>46761</v>
      </c>
      <c r="C90" s="1">
        <f t="shared" ref="C90:C109" si="11">C89-F90</f>
        <v>90.909199999999998</v>
      </c>
      <c r="D90" s="4">
        <v>4.7500000000000001E-2</v>
      </c>
      <c r="E90" s="5">
        <f t="shared" si="9"/>
        <v>2.26704675</v>
      </c>
      <c r="F90" s="1">
        <v>4.5453999999999999</v>
      </c>
      <c r="G90" s="1">
        <f t="shared" si="10"/>
        <v>6.8124467499999994</v>
      </c>
    </row>
    <row r="91" spans="1:7" x14ac:dyDescent="0.2">
      <c r="A91" s="1" t="s">
        <v>71</v>
      </c>
      <c r="B91" s="3">
        <v>46943</v>
      </c>
      <c r="C91" s="1">
        <f t="shared" si="11"/>
        <v>86.363799999999998</v>
      </c>
      <c r="D91" s="4">
        <v>4.7500000000000001E-2</v>
      </c>
      <c r="E91" s="5">
        <f t="shared" si="9"/>
        <v>2.1590935</v>
      </c>
      <c r="F91" s="1">
        <v>4.5453999999999999</v>
      </c>
      <c r="G91" s="1">
        <f t="shared" si="10"/>
        <v>6.7044934999999999</v>
      </c>
    </row>
    <row r="92" spans="1:7" x14ac:dyDescent="0.2">
      <c r="A92" s="1" t="s">
        <v>71</v>
      </c>
      <c r="B92" s="3">
        <v>47127</v>
      </c>
      <c r="C92" s="1">
        <f t="shared" si="11"/>
        <v>81.818399999999997</v>
      </c>
      <c r="D92" s="4">
        <v>0.05</v>
      </c>
      <c r="E92" s="5">
        <f t="shared" si="9"/>
        <v>2.1590950000000002</v>
      </c>
      <c r="F92" s="1">
        <v>4.5453999999999999</v>
      </c>
      <c r="G92" s="1">
        <f t="shared" si="10"/>
        <v>6.7044949999999996</v>
      </c>
    </row>
    <row r="93" spans="1:7" x14ac:dyDescent="0.2">
      <c r="A93" s="1" t="s">
        <v>71</v>
      </c>
      <c r="B93" s="3">
        <v>47308</v>
      </c>
      <c r="C93" s="1">
        <f t="shared" si="11"/>
        <v>77.272999999999996</v>
      </c>
      <c r="D93" s="4">
        <v>0.05</v>
      </c>
      <c r="E93" s="5">
        <f t="shared" si="9"/>
        <v>2.0454599999999998</v>
      </c>
      <c r="F93" s="1">
        <v>4.5453999999999999</v>
      </c>
      <c r="G93" s="1">
        <f t="shared" si="10"/>
        <v>6.5908599999999993</v>
      </c>
    </row>
    <row r="94" spans="1:7" x14ac:dyDescent="0.2">
      <c r="A94" s="1" t="s">
        <v>71</v>
      </c>
      <c r="B94" s="3">
        <v>47492</v>
      </c>
      <c r="C94" s="1">
        <f t="shared" si="11"/>
        <v>72.727599999999995</v>
      </c>
      <c r="D94" s="4">
        <v>0.05</v>
      </c>
      <c r="E94" s="5">
        <f t="shared" si="9"/>
        <v>1.9318249999999999</v>
      </c>
      <c r="F94" s="1">
        <v>4.5453999999999999</v>
      </c>
      <c r="G94" s="1">
        <f t="shared" si="10"/>
        <v>6.4772249999999998</v>
      </c>
    </row>
    <row r="95" spans="1:7" x14ac:dyDescent="0.2">
      <c r="A95" s="1" t="s">
        <v>71</v>
      </c>
      <c r="B95" s="3">
        <v>47673</v>
      </c>
      <c r="C95" s="1">
        <f t="shared" si="11"/>
        <v>68.182199999999995</v>
      </c>
      <c r="D95" s="4">
        <v>0.05</v>
      </c>
      <c r="E95" s="5">
        <f t="shared" si="9"/>
        <v>1.81819</v>
      </c>
      <c r="F95" s="1">
        <v>4.5453999999999999</v>
      </c>
      <c r="G95" s="1">
        <f t="shared" si="10"/>
        <v>6.3635900000000003</v>
      </c>
    </row>
    <row r="96" spans="1:7" x14ac:dyDescent="0.2">
      <c r="A96" s="1" t="s">
        <v>71</v>
      </c>
      <c r="B96" s="3">
        <v>47857</v>
      </c>
      <c r="C96" s="1">
        <f t="shared" si="11"/>
        <v>63.636799999999994</v>
      </c>
      <c r="D96" s="4">
        <v>0.05</v>
      </c>
      <c r="E96" s="5">
        <f t="shared" si="9"/>
        <v>1.704555</v>
      </c>
      <c r="F96" s="1">
        <v>4.5453999999999999</v>
      </c>
      <c r="G96" s="1">
        <f t="shared" si="10"/>
        <v>6.2499549999999999</v>
      </c>
    </row>
    <row r="97" spans="1:7" x14ac:dyDescent="0.2">
      <c r="A97" s="1" t="s">
        <v>71</v>
      </c>
      <c r="B97" s="3">
        <v>48038</v>
      </c>
      <c r="C97" s="1">
        <f t="shared" si="11"/>
        <v>59.091399999999993</v>
      </c>
      <c r="D97" s="4">
        <v>0.05</v>
      </c>
      <c r="E97" s="5">
        <f t="shared" si="9"/>
        <v>1.5909199999999999</v>
      </c>
      <c r="F97" s="1">
        <v>4.5453999999999999</v>
      </c>
      <c r="G97" s="1">
        <f t="shared" si="10"/>
        <v>6.1363199999999996</v>
      </c>
    </row>
    <row r="98" spans="1:7" x14ac:dyDescent="0.2">
      <c r="A98" s="1" t="s">
        <v>71</v>
      </c>
      <c r="B98" s="3">
        <v>48222</v>
      </c>
      <c r="C98" s="1">
        <f t="shared" si="11"/>
        <v>54.545999999999992</v>
      </c>
      <c r="D98" s="4">
        <v>0.05</v>
      </c>
      <c r="E98" s="5">
        <f t="shared" si="9"/>
        <v>1.477285</v>
      </c>
      <c r="F98" s="1">
        <v>4.5453999999999999</v>
      </c>
      <c r="G98" s="1">
        <f t="shared" si="10"/>
        <v>6.0226850000000001</v>
      </c>
    </row>
    <row r="99" spans="1:7" x14ac:dyDescent="0.2">
      <c r="A99" s="1" t="s">
        <v>71</v>
      </c>
      <c r="B99" s="3">
        <v>48404</v>
      </c>
      <c r="C99" s="1">
        <f t="shared" si="11"/>
        <v>50.000599999999991</v>
      </c>
      <c r="D99" s="4">
        <v>0.05</v>
      </c>
      <c r="E99" s="5">
        <f t="shared" si="9"/>
        <v>1.3636499999999998</v>
      </c>
      <c r="F99" s="1">
        <v>4.5453999999999999</v>
      </c>
      <c r="G99" s="1">
        <f t="shared" si="10"/>
        <v>5.9090499999999997</v>
      </c>
    </row>
    <row r="100" spans="1:7" x14ac:dyDescent="0.2">
      <c r="A100" s="1" t="s">
        <v>71</v>
      </c>
      <c r="B100" s="3">
        <v>48588</v>
      </c>
      <c r="C100" s="1">
        <f t="shared" si="11"/>
        <v>45.455199999999991</v>
      </c>
      <c r="D100" s="4">
        <v>0.05</v>
      </c>
      <c r="E100" s="5">
        <f t="shared" si="9"/>
        <v>1.2500149999999999</v>
      </c>
      <c r="F100" s="1">
        <v>4.5453999999999999</v>
      </c>
      <c r="G100" s="1">
        <f t="shared" si="10"/>
        <v>5.7954150000000002</v>
      </c>
    </row>
    <row r="101" spans="1:7" x14ac:dyDescent="0.2">
      <c r="A101" s="1" t="s">
        <v>71</v>
      </c>
      <c r="B101" s="3">
        <v>48769</v>
      </c>
      <c r="C101" s="1">
        <f t="shared" si="11"/>
        <v>40.90979999999999</v>
      </c>
      <c r="D101" s="4">
        <v>0.05</v>
      </c>
      <c r="E101" s="5">
        <f t="shared" si="9"/>
        <v>1.1363799999999997</v>
      </c>
      <c r="F101" s="1">
        <v>4.5453999999999999</v>
      </c>
      <c r="G101" s="1">
        <f t="shared" si="10"/>
        <v>5.6817799999999998</v>
      </c>
    </row>
    <row r="102" spans="1:7" x14ac:dyDescent="0.2">
      <c r="A102" s="1" t="s">
        <v>71</v>
      </c>
      <c r="B102" s="3">
        <v>48953</v>
      </c>
      <c r="C102" s="1">
        <f t="shared" si="11"/>
        <v>36.364399999999989</v>
      </c>
      <c r="D102" s="4">
        <v>0.05</v>
      </c>
      <c r="E102" s="5">
        <f t="shared" si="9"/>
        <v>1.0227449999999998</v>
      </c>
      <c r="F102" s="1">
        <v>4.5453999999999999</v>
      </c>
      <c r="G102" s="1">
        <f t="shared" si="10"/>
        <v>5.5681449999999995</v>
      </c>
    </row>
    <row r="103" spans="1:7" x14ac:dyDescent="0.2">
      <c r="A103" s="1" t="s">
        <v>71</v>
      </c>
      <c r="B103" s="3">
        <v>49134</v>
      </c>
      <c r="C103" s="1">
        <f t="shared" si="11"/>
        <v>31.818999999999988</v>
      </c>
      <c r="D103" s="4">
        <v>0.05</v>
      </c>
      <c r="E103" s="5">
        <f t="shared" si="9"/>
        <v>0.90910999999999975</v>
      </c>
      <c r="F103" s="1">
        <v>4.5453999999999999</v>
      </c>
      <c r="G103" s="1">
        <f t="shared" si="10"/>
        <v>5.45451</v>
      </c>
    </row>
    <row r="104" spans="1:7" x14ac:dyDescent="0.2">
      <c r="A104" s="1" t="s">
        <v>71</v>
      </c>
      <c r="B104" s="3">
        <v>49318</v>
      </c>
      <c r="C104" s="1">
        <f t="shared" si="11"/>
        <v>27.273599999999988</v>
      </c>
      <c r="D104" s="4">
        <v>0.05</v>
      </c>
      <c r="E104" s="5">
        <f t="shared" si="9"/>
        <v>0.79547499999999971</v>
      </c>
      <c r="F104" s="1">
        <v>4.5453999999999999</v>
      </c>
      <c r="G104" s="1">
        <f t="shared" si="10"/>
        <v>5.3408749999999996</v>
      </c>
    </row>
    <row r="105" spans="1:7" x14ac:dyDescent="0.2">
      <c r="A105" s="1" t="s">
        <v>71</v>
      </c>
      <c r="B105" s="3">
        <v>49499</v>
      </c>
      <c r="C105" s="1">
        <f t="shared" si="11"/>
        <v>22.728199999999987</v>
      </c>
      <c r="D105" s="4">
        <v>0.05</v>
      </c>
      <c r="E105" s="5">
        <f t="shared" si="9"/>
        <v>0.68183999999999978</v>
      </c>
      <c r="F105" s="1">
        <v>4.5453999999999999</v>
      </c>
      <c r="G105" s="1">
        <f t="shared" si="10"/>
        <v>5.2272400000000001</v>
      </c>
    </row>
    <row r="106" spans="1:7" x14ac:dyDescent="0.2">
      <c r="A106" s="1" t="s">
        <v>71</v>
      </c>
      <c r="B106" s="3">
        <v>49683</v>
      </c>
      <c r="C106" s="1">
        <f t="shared" si="11"/>
        <v>18.182799999999986</v>
      </c>
      <c r="D106" s="4">
        <v>0.05</v>
      </c>
      <c r="E106" s="5">
        <f t="shared" si="9"/>
        <v>0.56820499999999974</v>
      </c>
      <c r="F106" s="1">
        <v>4.5453999999999999</v>
      </c>
      <c r="G106" s="1">
        <f t="shared" si="10"/>
        <v>5.1136049999999997</v>
      </c>
    </row>
    <row r="107" spans="1:7" x14ac:dyDescent="0.2">
      <c r="A107" s="1" t="s">
        <v>71</v>
      </c>
      <c r="B107" s="3">
        <v>49865</v>
      </c>
      <c r="C107" s="1">
        <f t="shared" si="11"/>
        <v>13.637399999999985</v>
      </c>
      <c r="D107" s="4">
        <v>0.05</v>
      </c>
      <c r="E107" s="5">
        <f t="shared" si="9"/>
        <v>0.4545699999999997</v>
      </c>
      <c r="F107" s="1">
        <v>4.5453999999999999</v>
      </c>
      <c r="G107" s="1">
        <f t="shared" si="10"/>
        <v>4.9999699999999994</v>
      </c>
    </row>
    <row r="108" spans="1:7" x14ac:dyDescent="0.2">
      <c r="A108" s="1" t="s">
        <v>71</v>
      </c>
      <c r="B108" s="3">
        <v>50049</v>
      </c>
      <c r="C108" s="1">
        <f t="shared" si="11"/>
        <v>9.0919999999999845</v>
      </c>
      <c r="D108" s="4">
        <v>0.05</v>
      </c>
      <c r="E108" s="5">
        <f t="shared" si="9"/>
        <v>0.34093499999999965</v>
      </c>
      <c r="F108" s="1">
        <v>4.5453999999999999</v>
      </c>
      <c r="G108" s="1">
        <f t="shared" si="10"/>
        <v>4.8863349999999999</v>
      </c>
    </row>
    <row r="109" spans="1:7" x14ac:dyDescent="0.2">
      <c r="A109" s="1" t="s">
        <v>71</v>
      </c>
      <c r="B109" s="3">
        <v>50230</v>
      </c>
      <c r="C109" s="1">
        <f t="shared" si="11"/>
        <v>4.5465999999999847</v>
      </c>
      <c r="D109" s="4">
        <v>0.05</v>
      </c>
      <c r="E109" s="5">
        <f t="shared" si="9"/>
        <v>0.22729999999999961</v>
      </c>
      <c r="F109" s="1">
        <v>4.5453999999999999</v>
      </c>
      <c r="G109" s="1">
        <f t="shared" si="10"/>
        <v>4.7726999999999995</v>
      </c>
    </row>
    <row r="110" spans="1:7" x14ac:dyDescent="0.2">
      <c r="A110" s="1" t="s">
        <v>71</v>
      </c>
      <c r="B110" s="3">
        <v>50414</v>
      </c>
      <c r="C110" s="1">
        <v>0</v>
      </c>
      <c r="D110" s="4">
        <v>0.05</v>
      </c>
      <c r="E110" s="5">
        <f t="shared" si="9"/>
        <v>0.11366499999999963</v>
      </c>
      <c r="F110" s="1">
        <v>4.5465999999999998</v>
      </c>
      <c r="G110" s="1">
        <f t="shared" si="10"/>
        <v>4.660264999999999</v>
      </c>
    </row>
    <row r="111" spans="1:7" x14ac:dyDescent="0.2">
      <c r="A111" s="1"/>
      <c r="B111" s="3"/>
      <c r="C111" s="1"/>
      <c r="D111" s="4"/>
      <c r="E111" s="5"/>
      <c r="F111" s="1"/>
      <c r="G111" s="1"/>
    </row>
    <row r="112" spans="1:7" x14ac:dyDescent="0.2">
      <c r="A112" s="2" t="s">
        <v>0</v>
      </c>
      <c r="B112" s="2" t="s">
        <v>10</v>
      </c>
      <c r="C112" s="2" t="s">
        <v>11</v>
      </c>
      <c r="D112" s="2" t="s">
        <v>14</v>
      </c>
      <c r="E112" s="2" t="s">
        <v>12</v>
      </c>
      <c r="F112" s="2" t="s">
        <v>13</v>
      </c>
      <c r="G112" s="2" t="s">
        <v>15</v>
      </c>
    </row>
    <row r="113" spans="1:7" x14ac:dyDescent="0.2">
      <c r="A113" s="1" t="s">
        <v>72</v>
      </c>
      <c r="B113" s="3">
        <v>44078</v>
      </c>
      <c r="C113" s="1">
        <v>100</v>
      </c>
      <c r="D113" s="1">
        <v>0</v>
      </c>
      <c r="E113" s="1">
        <v>0</v>
      </c>
      <c r="F113" s="1">
        <v>0</v>
      </c>
      <c r="G113" s="1">
        <f>F113+E113</f>
        <v>0</v>
      </c>
    </row>
    <row r="114" spans="1:7" x14ac:dyDescent="0.2">
      <c r="A114" s="1" t="s">
        <v>72</v>
      </c>
      <c r="B114" s="3">
        <v>44386</v>
      </c>
      <c r="C114" s="1">
        <v>100</v>
      </c>
      <c r="D114" s="4">
        <v>1.25E-3</v>
      </c>
      <c r="E114" s="5">
        <f t="shared" ref="E114:E154" si="12">((D114*C113)/360)*DAYS360(B113,B114)</f>
        <v>0.10590277777777778</v>
      </c>
      <c r="F114" s="1">
        <v>0</v>
      </c>
      <c r="G114" s="1">
        <f t="shared" ref="G114:G154" si="13">F114+E114</f>
        <v>0.10590277777777778</v>
      </c>
    </row>
    <row r="115" spans="1:7" x14ac:dyDescent="0.2">
      <c r="A115" s="1" t="s">
        <v>72</v>
      </c>
      <c r="B115" s="3">
        <v>44570</v>
      </c>
      <c r="C115" s="1">
        <v>100</v>
      </c>
      <c r="D115" s="4">
        <v>2.5000000000000001E-2</v>
      </c>
      <c r="E115" s="5">
        <f t="shared" si="12"/>
        <v>1.25</v>
      </c>
      <c r="F115" s="1">
        <v>0</v>
      </c>
      <c r="G115" s="1">
        <f t="shared" si="13"/>
        <v>1.25</v>
      </c>
    </row>
    <row r="116" spans="1:7" x14ac:dyDescent="0.2">
      <c r="A116" s="1" t="s">
        <v>72</v>
      </c>
      <c r="B116" s="3">
        <v>44751</v>
      </c>
      <c r="C116" s="1">
        <v>100</v>
      </c>
      <c r="D116" s="4">
        <v>2.5000000000000001E-2</v>
      </c>
      <c r="E116" s="5">
        <f t="shared" si="12"/>
        <v>1.25</v>
      </c>
      <c r="F116" s="1">
        <v>0</v>
      </c>
      <c r="G116" s="1">
        <f t="shared" si="13"/>
        <v>1.25</v>
      </c>
    </row>
    <row r="117" spans="1:7" x14ac:dyDescent="0.2">
      <c r="A117" s="1" t="s">
        <v>72</v>
      </c>
      <c r="B117" s="3">
        <v>44935</v>
      </c>
      <c r="C117" s="1">
        <v>100</v>
      </c>
      <c r="D117" s="4">
        <v>3.5000000000000003E-2</v>
      </c>
      <c r="E117" s="5">
        <f t="shared" si="12"/>
        <v>1.7500000000000004</v>
      </c>
      <c r="F117" s="1">
        <v>0</v>
      </c>
      <c r="G117" s="1">
        <f t="shared" si="13"/>
        <v>1.7500000000000004</v>
      </c>
    </row>
    <row r="118" spans="1:7" x14ac:dyDescent="0.2">
      <c r="A118" s="1" t="s">
        <v>72</v>
      </c>
      <c r="B118" s="3">
        <v>45116</v>
      </c>
      <c r="C118" s="1">
        <v>100</v>
      </c>
      <c r="D118" s="4">
        <v>3.5000000000000003E-2</v>
      </c>
      <c r="E118" s="5">
        <f t="shared" si="12"/>
        <v>1.7500000000000004</v>
      </c>
      <c r="F118" s="1">
        <v>0</v>
      </c>
      <c r="G118" s="1">
        <f t="shared" si="13"/>
        <v>1.7500000000000004</v>
      </c>
    </row>
    <row r="119" spans="1:7" x14ac:dyDescent="0.2">
      <c r="A119" s="1" t="s">
        <v>72</v>
      </c>
      <c r="B119" s="3">
        <v>45300</v>
      </c>
      <c r="C119" s="1">
        <v>100</v>
      </c>
      <c r="D119" s="4">
        <v>3.5000000000000003E-2</v>
      </c>
      <c r="E119" s="5">
        <f t="shared" si="12"/>
        <v>1.7500000000000004</v>
      </c>
      <c r="F119" s="1">
        <v>0</v>
      </c>
      <c r="G119" s="1">
        <f t="shared" si="13"/>
        <v>1.7500000000000004</v>
      </c>
    </row>
    <row r="120" spans="1:7" x14ac:dyDescent="0.2">
      <c r="A120" s="1" t="s">
        <v>72</v>
      </c>
      <c r="B120" s="3">
        <v>45482</v>
      </c>
      <c r="C120" s="1">
        <v>100</v>
      </c>
      <c r="D120" s="4">
        <v>3.5000000000000003E-2</v>
      </c>
      <c r="E120" s="5">
        <f t="shared" si="12"/>
        <v>1.7500000000000004</v>
      </c>
      <c r="F120" s="1">
        <v>0</v>
      </c>
      <c r="G120" s="1">
        <f t="shared" si="13"/>
        <v>1.7500000000000004</v>
      </c>
    </row>
    <row r="121" spans="1:7" x14ac:dyDescent="0.2">
      <c r="A121" s="1" t="s">
        <v>72</v>
      </c>
      <c r="B121" s="3">
        <v>45666</v>
      </c>
      <c r="C121" s="1">
        <v>100</v>
      </c>
      <c r="D121" s="4">
        <v>3.5000000000000003E-2</v>
      </c>
      <c r="E121" s="5">
        <f t="shared" si="12"/>
        <v>1.7500000000000004</v>
      </c>
      <c r="F121" s="1">
        <v>0</v>
      </c>
      <c r="G121" s="1">
        <f t="shared" si="13"/>
        <v>1.7500000000000004</v>
      </c>
    </row>
    <row r="122" spans="1:7" x14ac:dyDescent="0.2">
      <c r="A122" s="1" t="s">
        <v>72</v>
      </c>
      <c r="B122" s="3">
        <v>45847</v>
      </c>
      <c r="C122" s="1">
        <v>100</v>
      </c>
      <c r="D122" s="4">
        <v>3.5000000000000003E-2</v>
      </c>
      <c r="E122" s="5">
        <f t="shared" si="12"/>
        <v>1.7500000000000004</v>
      </c>
      <c r="F122" s="1">
        <v>0</v>
      </c>
      <c r="G122" s="1">
        <f t="shared" si="13"/>
        <v>1.7500000000000004</v>
      </c>
    </row>
    <row r="123" spans="1:7" x14ac:dyDescent="0.2">
      <c r="A123" s="1" t="s">
        <v>72</v>
      </c>
      <c r="B123" s="3">
        <v>46031</v>
      </c>
      <c r="C123" s="1">
        <v>100</v>
      </c>
      <c r="D123" s="4">
        <v>3.5000000000000003E-2</v>
      </c>
      <c r="E123" s="5">
        <f t="shared" si="12"/>
        <v>1.7500000000000004</v>
      </c>
      <c r="F123" s="1">
        <v>0</v>
      </c>
      <c r="G123" s="1">
        <f t="shared" si="13"/>
        <v>1.7500000000000004</v>
      </c>
    </row>
    <row r="124" spans="1:7" x14ac:dyDescent="0.2">
      <c r="A124" s="1" t="s">
        <v>72</v>
      </c>
      <c r="B124" s="3">
        <v>46212</v>
      </c>
      <c r="C124" s="1">
        <v>100</v>
      </c>
      <c r="D124" s="4">
        <v>3.5000000000000003E-2</v>
      </c>
      <c r="E124" s="5">
        <f t="shared" si="12"/>
        <v>1.7500000000000004</v>
      </c>
      <c r="F124" s="1">
        <v>0</v>
      </c>
      <c r="G124" s="1">
        <f t="shared" si="13"/>
        <v>1.7500000000000004</v>
      </c>
    </row>
    <row r="125" spans="1:7" x14ac:dyDescent="0.2">
      <c r="A125" s="1" t="s">
        <v>72</v>
      </c>
      <c r="B125" s="3">
        <v>46396</v>
      </c>
      <c r="C125" s="1">
        <v>100</v>
      </c>
      <c r="D125" s="4">
        <v>3.5000000000000003E-2</v>
      </c>
      <c r="E125" s="5">
        <f t="shared" si="12"/>
        <v>1.7500000000000004</v>
      </c>
      <c r="F125" s="1">
        <v>0</v>
      </c>
      <c r="G125" s="1">
        <f t="shared" si="13"/>
        <v>1.7500000000000004</v>
      </c>
    </row>
    <row r="126" spans="1:7" x14ac:dyDescent="0.2">
      <c r="A126" s="1" t="s">
        <v>72</v>
      </c>
      <c r="B126" s="3">
        <v>46577</v>
      </c>
      <c r="C126" s="1">
        <f>C125-F126</f>
        <v>100</v>
      </c>
      <c r="D126" s="4">
        <v>3.5000000000000003E-2</v>
      </c>
      <c r="E126" s="5">
        <f t="shared" si="12"/>
        <v>1.7500000000000004</v>
      </c>
      <c r="F126" s="1">
        <v>0</v>
      </c>
      <c r="G126" s="1">
        <f t="shared" si="13"/>
        <v>1.7500000000000004</v>
      </c>
    </row>
    <row r="127" spans="1:7" x14ac:dyDescent="0.2">
      <c r="A127" s="1" t="s">
        <v>72</v>
      </c>
      <c r="B127" s="3">
        <v>46761</v>
      </c>
      <c r="C127" s="1">
        <f t="shared" ref="C127:C153" si="14">C126-F127</f>
        <v>96.428600000000003</v>
      </c>
      <c r="D127" s="4">
        <v>3.5000000000000003E-2</v>
      </c>
      <c r="E127" s="5">
        <f t="shared" si="12"/>
        <v>1.7500000000000004</v>
      </c>
      <c r="F127" s="1">
        <v>3.5714000000000001</v>
      </c>
      <c r="G127" s="1">
        <f t="shared" si="13"/>
        <v>5.3214000000000006</v>
      </c>
    </row>
    <row r="128" spans="1:7" x14ac:dyDescent="0.2">
      <c r="A128" s="1" t="s">
        <v>72</v>
      </c>
      <c r="B128" s="3">
        <v>46943</v>
      </c>
      <c r="C128" s="1">
        <f t="shared" si="14"/>
        <v>92.857200000000006</v>
      </c>
      <c r="D128" s="4">
        <v>3.5000000000000003E-2</v>
      </c>
      <c r="E128" s="5">
        <f t="shared" si="12"/>
        <v>1.6875005000000005</v>
      </c>
      <c r="F128" s="1">
        <v>3.5714000000000001</v>
      </c>
      <c r="G128" s="1">
        <f t="shared" si="13"/>
        <v>5.2589005000000011</v>
      </c>
    </row>
    <row r="129" spans="1:7" x14ac:dyDescent="0.2">
      <c r="A129" s="1" t="s">
        <v>72</v>
      </c>
      <c r="B129" s="3">
        <v>47127</v>
      </c>
      <c r="C129" s="1">
        <f t="shared" si="14"/>
        <v>89.285800000000009</v>
      </c>
      <c r="D129" s="4">
        <v>3.5000000000000003E-2</v>
      </c>
      <c r="E129" s="5">
        <f t="shared" si="12"/>
        <v>1.6250010000000004</v>
      </c>
      <c r="F129" s="1">
        <v>3.5714000000000001</v>
      </c>
      <c r="G129" s="1">
        <f t="shared" si="13"/>
        <v>5.1964010000000007</v>
      </c>
    </row>
    <row r="130" spans="1:7" x14ac:dyDescent="0.2">
      <c r="A130" s="1" t="s">
        <v>72</v>
      </c>
      <c r="B130" s="3">
        <v>47308</v>
      </c>
      <c r="C130" s="1">
        <f t="shared" si="14"/>
        <v>85.714400000000012</v>
      </c>
      <c r="D130" s="4">
        <v>3.5000000000000003E-2</v>
      </c>
      <c r="E130" s="5">
        <f t="shared" si="12"/>
        <v>1.5625015000000002</v>
      </c>
      <c r="F130" s="1">
        <v>3.5714000000000001</v>
      </c>
      <c r="G130" s="1">
        <f t="shared" si="13"/>
        <v>5.1339015000000003</v>
      </c>
    </row>
    <row r="131" spans="1:7" x14ac:dyDescent="0.2">
      <c r="A131" s="1" t="s">
        <v>72</v>
      </c>
      <c r="B131" s="3">
        <v>47492</v>
      </c>
      <c r="C131" s="1">
        <f t="shared" si="14"/>
        <v>82.143000000000015</v>
      </c>
      <c r="D131" s="4">
        <v>4.8750000000000002E-2</v>
      </c>
      <c r="E131" s="5">
        <f t="shared" si="12"/>
        <v>2.0892885000000003</v>
      </c>
      <c r="F131" s="1">
        <v>3.5714000000000001</v>
      </c>
      <c r="G131" s="1">
        <f t="shared" si="13"/>
        <v>5.6606885000000009</v>
      </c>
    </row>
    <row r="132" spans="1:7" x14ac:dyDescent="0.2">
      <c r="A132" s="1" t="s">
        <v>72</v>
      </c>
      <c r="B132" s="3">
        <v>47673</v>
      </c>
      <c r="C132" s="1">
        <f t="shared" si="14"/>
        <v>78.571600000000018</v>
      </c>
      <c r="D132" s="4">
        <v>4.8750000000000002E-2</v>
      </c>
      <c r="E132" s="5">
        <f t="shared" si="12"/>
        <v>2.0022356250000004</v>
      </c>
      <c r="F132" s="1">
        <v>3.5714000000000001</v>
      </c>
      <c r="G132" s="1">
        <f t="shared" si="13"/>
        <v>5.5736356250000005</v>
      </c>
    </row>
    <row r="133" spans="1:7" x14ac:dyDescent="0.2">
      <c r="A133" s="1" t="s">
        <v>72</v>
      </c>
      <c r="B133" s="3">
        <v>47857</v>
      </c>
      <c r="C133" s="1">
        <f t="shared" si="14"/>
        <v>75.000200000000021</v>
      </c>
      <c r="D133" s="4">
        <v>4.8750000000000002E-2</v>
      </c>
      <c r="E133" s="5">
        <f t="shared" si="12"/>
        <v>1.9151827500000003</v>
      </c>
      <c r="F133" s="1">
        <v>3.5714000000000001</v>
      </c>
      <c r="G133" s="1">
        <f t="shared" si="13"/>
        <v>5.4865827500000002</v>
      </c>
    </row>
    <row r="134" spans="1:7" x14ac:dyDescent="0.2">
      <c r="A134" s="1" t="s">
        <v>72</v>
      </c>
      <c r="B134" s="3">
        <v>48038</v>
      </c>
      <c r="C134" s="1">
        <f t="shared" si="14"/>
        <v>71.428800000000024</v>
      </c>
      <c r="D134" s="4">
        <v>4.8750000000000002E-2</v>
      </c>
      <c r="E134" s="5">
        <f t="shared" si="12"/>
        <v>1.8281298750000006</v>
      </c>
      <c r="F134" s="1">
        <v>3.5714000000000001</v>
      </c>
      <c r="G134" s="1">
        <f t="shared" si="13"/>
        <v>5.3995298750000007</v>
      </c>
    </row>
    <row r="135" spans="1:7" x14ac:dyDescent="0.2">
      <c r="A135" s="1" t="s">
        <v>72</v>
      </c>
      <c r="B135" s="3">
        <v>48222</v>
      </c>
      <c r="C135" s="1">
        <f t="shared" si="14"/>
        <v>67.857400000000027</v>
      </c>
      <c r="D135" s="4">
        <v>4.8750000000000002E-2</v>
      </c>
      <c r="E135" s="5">
        <f t="shared" si="12"/>
        <v>1.7410770000000007</v>
      </c>
      <c r="F135" s="1">
        <v>3.5714000000000001</v>
      </c>
      <c r="G135" s="1">
        <f t="shared" si="13"/>
        <v>5.3124770000000012</v>
      </c>
    </row>
    <row r="136" spans="1:7" x14ac:dyDescent="0.2">
      <c r="A136" s="1" t="s">
        <v>72</v>
      </c>
      <c r="B136" s="3">
        <v>48404</v>
      </c>
      <c r="C136" s="1">
        <f t="shared" si="14"/>
        <v>64.28600000000003</v>
      </c>
      <c r="D136" s="4">
        <v>4.8750000000000002E-2</v>
      </c>
      <c r="E136" s="5">
        <f t="shared" si="12"/>
        <v>1.6540241250000007</v>
      </c>
      <c r="F136" s="1">
        <v>3.5714000000000001</v>
      </c>
      <c r="G136" s="1">
        <f t="shared" si="13"/>
        <v>5.2254241250000009</v>
      </c>
    </row>
    <row r="137" spans="1:7" x14ac:dyDescent="0.2">
      <c r="A137" s="1" t="s">
        <v>72</v>
      </c>
      <c r="B137" s="3">
        <v>48588</v>
      </c>
      <c r="C137" s="1">
        <f t="shared" si="14"/>
        <v>60.714600000000033</v>
      </c>
      <c r="D137" s="4">
        <v>4.8750000000000002E-2</v>
      </c>
      <c r="E137" s="5">
        <f t="shared" si="12"/>
        <v>1.5669712500000008</v>
      </c>
      <c r="F137" s="1">
        <v>3.5714000000000001</v>
      </c>
      <c r="G137" s="1">
        <f t="shared" si="13"/>
        <v>5.1383712500000005</v>
      </c>
    </row>
    <row r="138" spans="1:7" x14ac:dyDescent="0.2">
      <c r="A138" s="1" t="s">
        <v>72</v>
      </c>
      <c r="B138" s="3">
        <v>48769</v>
      </c>
      <c r="C138" s="1">
        <f t="shared" si="14"/>
        <v>57.143200000000036</v>
      </c>
      <c r="D138" s="4">
        <v>4.8750000000000002E-2</v>
      </c>
      <c r="E138" s="5">
        <f t="shared" si="12"/>
        <v>1.4799183750000011</v>
      </c>
      <c r="F138" s="1">
        <v>3.5714000000000001</v>
      </c>
      <c r="G138" s="1">
        <f t="shared" si="13"/>
        <v>5.051318375000001</v>
      </c>
    </row>
    <row r="139" spans="1:7" x14ac:dyDescent="0.2">
      <c r="A139" s="1" t="s">
        <v>72</v>
      </c>
      <c r="B139" s="3">
        <v>48953</v>
      </c>
      <c r="C139" s="1">
        <f t="shared" si="14"/>
        <v>53.571800000000039</v>
      </c>
      <c r="D139" s="4">
        <v>4.8750000000000002E-2</v>
      </c>
      <c r="E139" s="5">
        <f t="shared" si="12"/>
        <v>1.392865500000001</v>
      </c>
      <c r="F139" s="1">
        <v>3.5714000000000001</v>
      </c>
      <c r="G139" s="1">
        <f t="shared" si="13"/>
        <v>4.9642655000000016</v>
      </c>
    </row>
    <row r="140" spans="1:7" x14ac:dyDescent="0.2">
      <c r="A140" s="1" t="s">
        <v>72</v>
      </c>
      <c r="B140" s="3">
        <v>49134</v>
      </c>
      <c r="C140" s="1">
        <f t="shared" si="14"/>
        <v>50.000400000000042</v>
      </c>
      <c r="D140" s="4">
        <v>4.8750000000000002E-2</v>
      </c>
      <c r="E140" s="5">
        <f t="shared" si="12"/>
        <v>1.3058126250000011</v>
      </c>
      <c r="F140" s="1">
        <v>3.5714000000000001</v>
      </c>
      <c r="G140" s="1">
        <f t="shared" si="13"/>
        <v>4.8772126250000012</v>
      </c>
    </row>
    <row r="141" spans="1:7" x14ac:dyDescent="0.2">
      <c r="A141" s="1" t="s">
        <v>72</v>
      </c>
      <c r="B141" s="3">
        <v>49318</v>
      </c>
      <c r="C141" s="1">
        <f t="shared" si="14"/>
        <v>46.429000000000045</v>
      </c>
      <c r="D141" s="4">
        <v>4.8750000000000002E-2</v>
      </c>
      <c r="E141" s="5">
        <f t="shared" si="12"/>
        <v>1.2187597500000011</v>
      </c>
      <c r="F141" s="1">
        <v>3.5714000000000001</v>
      </c>
      <c r="G141" s="1">
        <f t="shared" si="13"/>
        <v>4.7901597500000008</v>
      </c>
    </row>
    <row r="142" spans="1:7" x14ac:dyDescent="0.2">
      <c r="A142" s="1" t="s">
        <v>72</v>
      </c>
      <c r="B142" s="3">
        <v>49499</v>
      </c>
      <c r="C142" s="1">
        <f t="shared" si="14"/>
        <v>42.857600000000048</v>
      </c>
      <c r="D142" s="4">
        <v>4.8750000000000002E-2</v>
      </c>
      <c r="E142" s="5">
        <f t="shared" si="12"/>
        <v>1.1317068750000012</v>
      </c>
      <c r="F142" s="1">
        <v>3.5714000000000001</v>
      </c>
      <c r="G142" s="1">
        <f t="shared" si="13"/>
        <v>4.7031068750000014</v>
      </c>
    </row>
    <row r="143" spans="1:7" x14ac:dyDescent="0.2">
      <c r="A143" s="1" t="s">
        <v>72</v>
      </c>
      <c r="B143" s="3">
        <v>49683</v>
      </c>
      <c r="C143" s="1">
        <f t="shared" si="14"/>
        <v>39.286200000000051</v>
      </c>
      <c r="D143" s="4">
        <v>4.8750000000000002E-2</v>
      </c>
      <c r="E143" s="5">
        <f t="shared" si="12"/>
        <v>1.0446540000000013</v>
      </c>
      <c r="F143" s="1">
        <v>3.5714000000000001</v>
      </c>
      <c r="G143" s="1">
        <f t="shared" si="13"/>
        <v>4.6160540000000019</v>
      </c>
    </row>
    <row r="144" spans="1:7" x14ac:dyDescent="0.2">
      <c r="A144" s="1" t="s">
        <v>72</v>
      </c>
      <c r="B144" s="3">
        <v>49865</v>
      </c>
      <c r="C144" s="1">
        <f t="shared" si="14"/>
        <v>35.714800000000054</v>
      </c>
      <c r="D144" s="4">
        <v>4.8750000000000002E-2</v>
      </c>
      <c r="E144" s="5">
        <f t="shared" si="12"/>
        <v>0.95760112500000127</v>
      </c>
      <c r="F144" s="1">
        <v>3.5714000000000001</v>
      </c>
      <c r="G144" s="1">
        <f t="shared" si="13"/>
        <v>4.5290011250000015</v>
      </c>
    </row>
    <row r="145" spans="1:7" x14ac:dyDescent="0.2">
      <c r="A145" s="1" t="s">
        <v>72</v>
      </c>
      <c r="B145" s="3">
        <v>50049</v>
      </c>
      <c r="C145" s="1">
        <f t="shared" si="14"/>
        <v>32.143400000000057</v>
      </c>
      <c r="D145" s="4">
        <v>4.8750000000000002E-2</v>
      </c>
      <c r="E145" s="5">
        <f t="shared" si="12"/>
        <v>0.87054825000000136</v>
      </c>
      <c r="F145" s="1">
        <v>3.5714000000000001</v>
      </c>
      <c r="G145" s="1">
        <f t="shared" si="13"/>
        <v>4.4419482500000012</v>
      </c>
    </row>
    <row r="146" spans="1:7" x14ac:dyDescent="0.2">
      <c r="A146" s="1" t="s">
        <v>72</v>
      </c>
      <c r="B146" s="3">
        <v>50230</v>
      </c>
      <c r="C146" s="1">
        <f t="shared" si="14"/>
        <v>28.572000000000056</v>
      </c>
      <c r="D146" s="4">
        <v>4.8750000000000002E-2</v>
      </c>
      <c r="E146" s="5">
        <f t="shared" si="12"/>
        <v>0.78349537500000155</v>
      </c>
      <c r="F146" s="1">
        <v>3.5714000000000001</v>
      </c>
      <c r="G146" s="1">
        <f t="shared" si="13"/>
        <v>4.3548953750000017</v>
      </c>
    </row>
    <row r="147" spans="1:7" x14ac:dyDescent="0.2">
      <c r="A147" s="1" t="s">
        <v>72</v>
      </c>
      <c r="B147" s="3">
        <v>50414</v>
      </c>
      <c r="C147" s="1">
        <f t="shared" si="14"/>
        <v>25.000600000000055</v>
      </c>
      <c r="D147" s="4">
        <v>4.8750000000000002E-2</v>
      </c>
      <c r="E147" s="5">
        <f t="shared" si="12"/>
        <v>0.69644250000000141</v>
      </c>
      <c r="F147" s="1">
        <v>3.5714000000000001</v>
      </c>
      <c r="G147" s="1">
        <f t="shared" si="13"/>
        <v>4.2678425000000013</v>
      </c>
    </row>
    <row r="148" spans="1:7" x14ac:dyDescent="0.2">
      <c r="A148" s="1" t="s">
        <v>72</v>
      </c>
      <c r="B148" s="3">
        <v>50595</v>
      </c>
      <c r="C148" s="1">
        <f t="shared" si="14"/>
        <v>21.429200000000055</v>
      </c>
      <c r="D148" s="4">
        <v>4.8750000000000002E-2</v>
      </c>
      <c r="E148" s="5">
        <f t="shared" si="12"/>
        <v>0.60938962500000138</v>
      </c>
      <c r="F148" s="1">
        <v>3.5714000000000001</v>
      </c>
      <c r="G148" s="1">
        <f t="shared" si="13"/>
        <v>4.1807896250000018</v>
      </c>
    </row>
    <row r="149" spans="1:7" x14ac:dyDescent="0.2">
      <c r="A149" s="1" t="s">
        <v>72</v>
      </c>
      <c r="B149" s="3">
        <v>50779</v>
      </c>
      <c r="C149" s="1">
        <f t="shared" si="14"/>
        <v>17.857800000000054</v>
      </c>
      <c r="D149" s="4">
        <v>4.8750000000000002E-2</v>
      </c>
      <c r="E149" s="5">
        <f t="shared" si="12"/>
        <v>0.52233675000000135</v>
      </c>
      <c r="F149" s="1">
        <v>3.5714000000000001</v>
      </c>
      <c r="G149" s="1">
        <f t="shared" si="13"/>
        <v>4.0937367500000015</v>
      </c>
    </row>
    <row r="150" spans="1:7" x14ac:dyDescent="0.2">
      <c r="A150" s="1" t="s">
        <v>72</v>
      </c>
      <c r="B150" s="3">
        <v>50960</v>
      </c>
      <c r="C150" s="1">
        <f t="shared" si="14"/>
        <v>14.286400000000054</v>
      </c>
      <c r="D150" s="4">
        <v>4.8750000000000002E-2</v>
      </c>
      <c r="E150" s="5">
        <f t="shared" si="12"/>
        <v>0.43528387500000132</v>
      </c>
      <c r="F150" s="1">
        <v>3.5714000000000001</v>
      </c>
      <c r="G150" s="1">
        <f t="shared" si="13"/>
        <v>4.0066838750000011</v>
      </c>
    </row>
    <row r="151" spans="1:7" x14ac:dyDescent="0.2">
      <c r="A151" s="1" t="s">
        <v>72</v>
      </c>
      <c r="B151" s="3">
        <v>51144</v>
      </c>
      <c r="C151" s="1">
        <f t="shared" si="14"/>
        <v>10.715000000000053</v>
      </c>
      <c r="D151" s="4">
        <v>4.8750000000000002E-2</v>
      </c>
      <c r="E151" s="5">
        <f t="shared" si="12"/>
        <v>0.34823100000000135</v>
      </c>
      <c r="F151" s="1">
        <v>3.5714000000000001</v>
      </c>
      <c r="G151" s="1">
        <f t="shared" si="13"/>
        <v>3.9196310000000016</v>
      </c>
    </row>
    <row r="152" spans="1:7" x14ac:dyDescent="0.2">
      <c r="A152" s="1" t="s">
        <v>72</v>
      </c>
      <c r="B152" s="3">
        <v>51326</v>
      </c>
      <c r="C152" s="1">
        <f t="shared" si="14"/>
        <v>7.1436000000000526</v>
      </c>
      <c r="D152" s="4">
        <v>4.8750000000000002E-2</v>
      </c>
      <c r="E152" s="5">
        <f t="shared" si="12"/>
        <v>0.26117812500000132</v>
      </c>
      <c r="F152" s="1">
        <v>3.5714000000000001</v>
      </c>
      <c r="G152" s="1">
        <f t="shared" si="13"/>
        <v>3.8325781250000013</v>
      </c>
    </row>
    <row r="153" spans="1:7" x14ac:dyDescent="0.2">
      <c r="A153" s="1" t="s">
        <v>72</v>
      </c>
      <c r="B153" s="3">
        <v>51510</v>
      </c>
      <c r="C153" s="1">
        <f t="shared" si="14"/>
        <v>3.5722000000000524</v>
      </c>
      <c r="D153" s="4">
        <v>4.8750000000000002E-2</v>
      </c>
      <c r="E153" s="5">
        <f t="shared" si="12"/>
        <v>0.17412525000000129</v>
      </c>
      <c r="F153" s="1">
        <v>3.5714000000000001</v>
      </c>
      <c r="G153" s="1">
        <f t="shared" si="13"/>
        <v>3.7455252500000014</v>
      </c>
    </row>
    <row r="154" spans="1:7" x14ac:dyDescent="0.2">
      <c r="A154" s="1" t="s">
        <v>72</v>
      </c>
      <c r="B154" s="3">
        <v>51691</v>
      </c>
      <c r="C154" s="1">
        <v>0</v>
      </c>
      <c r="D154" s="4">
        <v>4.8750000000000002E-2</v>
      </c>
      <c r="E154" s="5">
        <f t="shared" si="12"/>
        <v>8.7072375000001284E-2</v>
      </c>
      <c r="F154" s="1">
        <v>3.5722</v>
      </c>
      <c r="G154" s="1">
        <f t="shared" si="13"/>
        <v>3.6592723750000014</v>
      </c>
    </row>
    <row r="156" spans="1:7" x14ac:dyDescent="0.2">
      <c r="A156" s="2" t="s">
        <v>0</v>
      </c>
      <c r="B156" s="2" t="s">
        <v>10</v>
      </c>
      <c r="C156" s="2" t="s">
        <v>11</v>
      </c>
      <c r="D156" s="2" t="s">
        <v>14</v>
      </c>
      <c r="E156" s="2" t="s">
        <v>12</v>
      </c>
      <c r="F156" s="2" t="s">
        <v>13</v>
      </c>
      <c r="G156" s="2" t="s">
        <v>15</v>
      </c>
    </row>
    <row r="157" spans="1:7" x14ac:dyDescent="0.2">
      <c r="A157" s="1" t="s">
        <v>73</v>
      </c>
      <c r="B157" s="3">
        <v>44078</v>
      </c>
      <c r="C157" s="1">
        <v>100</v>
      </c>
      <c r="D157" s="1">
        <v>0</v>
      </c>
      <c r="E157" s="1">
        <v>0</v>
      </c>
      <c r="F157" s="1">
        <v>0</v>
      </c>
      <c r="G157" s="1">
        <f>F157+E157</f>
        <v>0</v>
      </c>
    </row>
    <row r="158" spans="1:7" x14ac:dyDescent="0.2">
      <c r="A158" s="1" t="s">
        <v>73</v>
      </c>
      <c r="B158" s="3">
        <v>44386</v>
      </c>
      <c r="C158" s="1">
        <v>100</v>
      </c>
      <c r="D158" s="4">
        <v>1.25E-3</v>
      </c>
      <c r="E158" s="5">
        <f t="shared" ref="E158:E198" si="15">((D158*C157)/360)*DAYS360(B157,B158)</f>
        <v>0.10590277777777778</v>
      </c>
      <c r="F158" s="1">
        <v>0</v>
      </c>
      <c r="G158" s="1">
        <f t="shared" ref="G158:G198" si="16">F158+E158</f>
        <v>0.10590277777777778</v>
      </c>
    </row>
    <row r="159" spans="1:7" x14ac:dyDescent="0.2">
      <c r="A159" s="1" t="s">
        <v>73</v>
      </c>
      <c r="B159" s="3">
        <v>44570</v>
      </c>
      <c r="C159" s="1">
        <v>100</v>
      </c>
      <c r="D159" s="4">
        <v>1.125E-2</v>
      </c>
      <c r="E159" s="5">
        <f t="shared" si="15"/>
        <v>0.5625</v>
      </c>
      <c r="F159" s="1">
        <v>0</v>
      </c>
      <c r="G159" s="1">
        <f t="shared" si="16"/>
        <v>0.5625</v>
      </c>
    </row>
    <row r="160" spans="1:7" x14ac:dyDescent="0.2">
      <c r="A160" s="1" t="s">
        <v>73</v>
      </c>
      <c r="B160" s="3">
        <v>44751</v>
      </c>
      <c r="C160" s="1">
        <v>100</v>
      </c>
      <c r="D160" s="4">
        <v>1.125E-2</v>
      </c>
      <c r="E160" s="5">
        <f t="shared" si="15"/>
        <v>0.5625</v>
      </c>
      <c r="F160" s="1">
        <v>0</v>
      </c>
      <c r="G160" s="1">
        <f t="shared" si="16"/>
        <v>0.5625</v>
      </c>
    </row>
    <row r="161" spans="1:7" x14ac:dyDescent="0.2">
      <c r="A161" s="1" t="s">
        <v>73</v>
      </c>
      <c r="B161" s="3">
        <v>44935</v>
      </c>
      <c r="C161" s="1">
        <v>100</v>
      </c>
      <c r="D161" s="4">
        <v>1.4999999999999999E-2</v>
      </c>
      <c r="E161" s="5">
        <f t="shared" si="15"/>
        <v>0.75</v>
      </c>
      <c r="F161" s="1">
        <v>0</v>
      </c>
      <c r="G161" s="1">
        <f t="shared" si="16"/>
        <v>0.75</v>
      </c>
    </row>
    <row r="162" spans="1:7" x14ac:dyDescent="0.2">
      <c r="A162" s="1" t="s">
        <v>73</v>
      </c>
      <c r="B162" s="3">
        <v>45116</v>
      </c>
      <c r="C162" s="1">
        <v>100</v>
      </c>
      <c r="D162" s="4">
        <v>1.4999999999999999E-2</v>
      </c>
      <c r="E162" s="5">
        <f t="shared" si="15"/>
        <v>0.75</v>
      </c>
      <c r="F162" s="1">
        <v>0</v>
      </c>
      <c r="G162" s="1">
        <f t="shared" si="16"/>
        <v>0.75</v>
      </c>
    </row>
    <row r="163" spans="1:7" x14ac:dyDescent="0.2">
      <c r="A163" s="1" t="s">
        <v>73</v>
      </c>
      <c r="B163" s="3">
        <v>45300</v>
      </c>
      <c r="C163" s="1">
        <v>100</v>
      </c>
      <c r="D163" s="4">
        <v>3.6249999999999998E-2</v>
      </c>
      <c r="E163" s="5">
        <f t="shared" si="15"/>
        <v>1.8124999999999998</v>
      </c>
      <c r="F163" s="1">
        <v>0</v>
      </c>
      <c r="G163" s="1">
        <f t="shared" si="16"/>
        <v>1.8124999999999998</v>
      </c>
    </row>
    <row r="164" spans="1:7" x14ac:dyDescent="0.2">
      <c r="A164" s="1" t="s">
        <v>73</v>
      </c>
      <c r="B164" s="3">
        <v>45482</v>
      </c>
      <c r="C164" s="1">
        <v>100</v>
      </c>
      <c r="D164" s="4">
        <v>3.6249999999999998E-2</v>
      </c>
      <c r="E164" s="5">
        <f t="shared" si="15"/>
        <v>1.8124999999999998</v>
      </c>
      <c r="F164" s="1">
        <v>0</v>
      </c>
      <c r="G164" s="1">
        <f t="shared" si="16"/>
        <v>1.8124999999999998</v>
      </c>
    </row>
    <row r="165" spans="1:7" x14ac:dyDescent="0.2">
      <c r="A165" s="1" t="s">
        <v>73</v>
      </c>
      <c r="B165" s="3">
        <v>45666</v>
      </c>
      <c r="C165" s="1">
        <f t="shared" ref="C165:C169" si="17">C164-F165</f>
        <v>97.727272729999996</v>
      </c>
      <c r="D165" s="4">
        <v>4.1250000000000002E-2</v>
      </c>
      <c r="E165" s="5">
        <f t="shared" si="15"/>
        <v>2.0625</v>
      </c>
      <c r="F165" s="1">
        <v>2.2727272699999999</v>
      </c>
      <c r="G165" s="1">
        <f t="shared" si="16"/>
        <v>4.3352272699999999</v>
      </c>
    </row>
    <row r="166" spans="1:7" x14ac:dyDescent="0.2">
      <c r="A166" s="1" t="s">
        <v>73</v>
      </c>
      <c r="B166" s="3">
        <v>45847</v>
      </c>
      <c r="C166" s="1">
        <f t="shared" si="17"/>
        <v>95.454545459999991</v>
      </c>
      <c r="D166" s="4">
        <v>4.1250000000000002E-2</v>
      </c>
      <c r="E166" s="5">
        <f t="shared" si="15"/>
        <v>2.0156250000562501</v>
      </c>
      <c r="F166" s="1">
        <v>2.2727272699999999</v>
      </c>
      <c r="G166" s="1">
        <f t="shared" si="16"/>
        <v>4.28835227005625</v>
      </c>
    </row>
    <row r="167" spans="1:7" x14ac:dyDescent="0.2">
      <c r="A167" s="1" t="s">
        <v>73</v>
      </c>
      <c r="B167" s="3">
        <v>46031</v>
      </c>
      <c r="C167" s="1">
        <f t="shared" si="17"/>
        <v>93.181818189999987</v>
      </c>
      <c r="D167" s="4">
        <v>4.1250000000000002E-2</v>
      </c>
      <c r="E167" s="5">
        <f t="shared" si="15"/>
        <v>1.9687500001124998</v>
      </c>
      <c r="F167" s="1">
        <v>2.2727272699999999</v>
      </c>
      <c r="G167" s="1">
        <f t="shared" si="16"/>
        <v>4.2414772701124992</v>
      </c>
    </row>
    <row r="168" spans="1:7" x14ac:dyDescent="0.2">
      <c r="A168" s="1" t="s">
        <v>73</v>
      </c>
      <c r="B168" s="3">
        <v>46212</v>
      </c>
      <c r="C168" s="1">
        <f t="shared" si="17"/>
        <v>90.909090919999983</v>
      </c>
      <c r="D168" s="4">
        <v>4.1250000000000002E-2</v>
      </c>
      <c r="E168" s="5">
        <f t="shared" si="15"/>
        <v>1.9218750001687501</v>
      </c>
      <c r="F168" s="1">
        <v>2.2727272699999999</v>
      </c>
      <c r="G168" s="1">
        <f t="shared" si="16"/>
        <v>4.1946022701687502</v>
      </c>
    </row>
    <row r="169" spans="1:7" x14ac:dyDescent="0.2">
      <c r="A169" s="1" t="s">
        <v>73</v>
      </c>
      <c r="B169" s="3">
        <v>46396</v>
      </c>
      <c r="C169" s="1">
        <f t="shared" si="17"/>
        <v>88.636363649999979</v>
      </c>
      <c r="D169" s="4">
        <v>4.1250000000000002E-2</v>
      </c>
      <c r="E169" s="5">
        <f t="shared" si="15"/>
        <v>1.875000000225</v>
      </c>
      <c r="F169" s="1">
        <v>2.2727272699999999</v>
      </c>
      <c r="G169" s="1">
        <f t="shared" si="16"/>
        <v>4.1477272702249994</v>
      </c>
    </row>
    <row r="170" spans="1:7" x14ac:dyDescent="0.2">
      <c r="A170" s="1" t="s">
        <v>73</v>
      </c>
      <c r="B170" s="3">
        <v>46577</v>
      </c>
      <c r="C170" s="1">
        <f>C169-F170</f>
        <v>86.363636379999974</v>
      </c>
      <c r="D170" s="4">
        <v>4.1250000000000002E-2</v>
      </c>
      <c r="E170" s="5">
        <f t="shared" si="15"/>
        <v>1.8281250002812497</v>
      </c>
      <c r="F170" s="1">
        <v>2.2727272699999999</v>
      </c>
      <c r="G170" s="1">
        <f t="shared" si="16"/>
        <v>4.1008522702812495</v>
      </c>
    </row>
    <row r="171" spans="1:7" x14ac:dyDescent="0.2">
      <c r="A171" s="1" t="s">
        <v>73</v>
      </c>
      <c r="B171" s="3">
        <v>46761</v>
      </c>
      <c r="C171" s="1">
        <f t="shared" ref="C171:C207" si="18">C170-F171</f>
        <v>84.09090910999997</v>
      </c>
      <c r="D171" s="4">
        <v>4.3749999999999997E-2</v>
      </c>
      <c r="E171" s="5">
        <f t="shared" si="15"/>
        <v>1.8892045458124995</v>
      </c>
      <c r="F171" s="1">
        <v>2.2727272699999999</v>
      </c>
      <c r="G171" s="1">
        <f t="shared" si="16"/>
        <v>4.1619318158124994</v>
      </c>
    </row>
    <row r="172" spans="1:7" x14ac:dyDescent="0.2">
      <c r="A172" s="1" t="s">
        <v>73</v>
      </c>
      <c r="B172" s="3">
        <v>46943</v>
      </c>
      <c r="C172" s="1">
        <f t="shared" si="18"/>
        <v>81.818181839999966</v>
      </c>
      <c r="D172" s="4">
        <v>4.3749999999999997E-2</v>
      </c>
      <c r="E172" s="5">
        <f t="shared" si="15"/>
        <v>1.8394886367812493</v>
      </c>
      <c r="F172" s="1">
        <v>2.2727272699999999</v>
      </c>
      <c r="G172" s="1">
        <f t="shared" si="16"/>
        <v>4.1122159067812492</v>
      </c>
    </row>
    <row r="173" spans="1:7" x14ac:dyDescent="0.2">
      <c r="A173" s="1" t="s">
        <v>73</v>
      </c>
      <c r="B173" s="3">
        <v>47127</v>
      </c>
      <c r="C173" s="1">
        <f t="shared" si="18"/>
        <v>79.545454569999961</v>
      </c>
      <c r="D173" s="4">
        <v>0.05</v>
      </c>
      <c r="E173" s="5">
        <f t="shared" si="15"/>
        <v>2.0454545459999993</v>
      </c>
      <c r="F173" s="1">
        <v>2.2727272699999999</v>
      </c>
      <c r="G173" s="1">
        <f t="shared" si="16"/>
        <v>4.3181818159999992</v>
      </c>
    </row>
    <row r="174" spans="1:7" x14ac:dyDescent="0.2">
      <c r="A174" s="1" t="s">
        <v>73</v>
      </c>
      <c r="B174" s="3">
        <v>47308</v>
      </c>
      <c r="C174" s="1">
        <f t="shared" si="18"/>
        <v>77.272727299999957</v>
      </c>
      <c r="D174" s="4">
        <v>0.05</v>
      </c>
      <c r="E174" s="5">
        <f t="shared" si="15"/>
        <v>1.9886363642499991</v>
      </c>
      <c r="F174" s="1">
        <v>2.2727272699999999</v>
      </c>
      <c r="G174" s="1">
        <f t="shared" si="16"/>
        <v>4.2613636342499994</v>
      </c>
    </row>
    <row r="175" spans="1:7" x14ac:dyDescent="0.2">
      <c r="A175" s="1" t="s">
        <v>73</v>
      </c>
      <c r="B175" s="3">
        <v>47492</v>
      </c>
      <c r="C175" s="1">
        <f t="shared" si="18"/>
        <v>75.000000029999953</v>
      </c>
      <c r="D175" s="4">
        <v>0.05</v>
      </c>
      <c r="E175" s="5">
        <f t="shared" si="15"/>
        <v>1.9318181824999989</v>
      </c>
      <c r="F175" s="1">
        <v>2.2727272699999999</v>
      </c>
      <c r="G175" s="1">
        <f t="shared" si="16"/>
        <v>4.2045454524999988</v>
      </c>
    </row>
    <row r="176" spans="1:7" x14ac:dyDescent="0.2">
      <c r="A176" s="1" t="s">
        <v>73</v>
      </c>
      <c r="B176" s="3">
        <v>47673</v>
      </c>
      <c r="C176" s="1">
        <f t="shared" si="18"/>
        <v>72.727272759999948</v>
      </c>
      <c r="D176" s="4">
        <v>0.05</v>
      </c>
      <c r="E176" s="5">
        <f t="shared" si="15"/>
        <v>1.875000000749999</v>
      </c>
      <c r="F176" s="1">
        <v>2.2727272699999999</v>
      </c>
      <c r="G176" s="1">
        <f t="shared" si="16"/>
        <v>4.147727270749999</v>
      </c>
    </row>
    <row r="177" spans="1:7" x14ac:dyDescent="0.2">
      <c r="A177" s="1" t="s">
        <v>73</v>
      </c>
      <c r="B177" s="3">
        <v>47857</v>
      </c>
      <c r="C177" s="1">
        <f t="shared" si="18"/>
        <v>70.454545489999944</v>
      </c>
      <c r="D177" s="4">
        <v>0.05</v>
      </c>
      <c r="E177" s="5">
        <f t="shared" si="15"/>
        <v>1.8181818189999988</v>
      </c>
      <c r="F177" s="1">
        <v>2.2727272699999999</v>
      </c>
      <c r="G177" s="1">
        <f t="shared" si="16"/>
        <v>4.0909090889999984</v>
      </c>
    </row>
    <row r="178" spans="1:7" x14ac:dyDescent="0.2">
      <c r="A178" s="1" t="s">
        <v>73</v>
      </c>
      <c r="B178" s="3">
        <v>48038</v>
      </c>
      <c r="C178" s="1">
        <f t="shared" si="18"/>
        <v>68.18181821999994</v>
      </c>
      <c r="D178" s="4">
        <v>0.05</v>
      </c>
      <c r="E178" s="5">
        <f t="shared" si="15"/>
        <v>1.7613636372499988</v>
      </c>
      <c r="F178" s="1">
        <v>2.2727272699999999</v>
      </c>
      <c r="G178" s="1">
        <f t="shared" si="16"/>
        <v>4.0340909072499986</v>
      </c>
    </row>
    <row r="179" spans="1:7" x14ac:dyDescent="0.2">
      <c r="A179" s="1" t="s">
        <v>73</v>
      </c>
      <c r="B179" s="3">
        <v>48222</v>
      </c>
      <c r="C179" s="1">
        <f t="shared" si="18"/>
        <v>65.909090949999936</v>
      </c>
      <c r="D179" s="4">
        <v>0.05</v>
      </c>
      <c r="E179" s="5">
        <f t="shared" si="15"/>
        <v>1.7045454554999986</v>
      </c>
      <c r="F179" s="1">
        <v>2.2727272699999999</v>
      </c>
      <c r="G179" s="1">
        <f t="shared" si="16"/>
        <v>3.9772727254999984</v>
      </c>
    </row>
    <row r="180" spans="1:7" x14ac:dyDescent="0.2">
      <c r="A180" s="1" t="s">
        <v>73</v>
      </c>
      <c r="B180" s="3">
        <v>48404</v>
      </c>
      <c r="C180" s="1">
        <f t="shared" si="18"/>
        <v>63.636363679999938</v>
      </c>
      <c r="D180" s="4">
        <v>0.05</v>
      </c>
      <c r="E180" s="5">
        <f t="shared" si="15"/>
        <v>1.6477272737499984</v>
      </c>
      <c r="F180" s="1">
        <v>2.2727272699999999</v>
      </c>
      <c r="G180" s="1">
        <f t="shared" si="16"/>
        <v>3.9204545437499982</v>
      </c>
    </row>
    <row r="181" spans="1:7" x14ac:dyDescent="0.2">
      <c r="A181" s="1" t="s">
        <v>73</v>
      </c>
      <c r="B181" s="3">
        <v>48588</v>
      </c>
      <c r="C181" s="1">
        <f t="shared" si="18"/>
        <v>61.363636409999941</v>
      </c>
      <c r="D181" s="4">
        <v>0.05</v>
      </c>
      <c r="E181" s="5">
        <f t="shared" si="15"/>
        <v>1.5909090919999986</v>
      </c>
      <c r="F181" s="1">
        <v>2.2727272699999999</v>
      </c>
      <c r="G181" s="1">
        <f t="shared" si="16"/>
        <v>3.8636363619999985</v>
      </c>
    </row>
    <row r="182" spans="1:7" x14ac:dyDescent="0.2">
      <c r="A182" s="1" t="s">
        <v>73</v>
      </c>
      <c r="B182" s="3">
        <v>48769</v>
      </c>
      <c r="C182" s="1">
        <f t="shared" si="18"/>
        <v>59.090909139999944</v>
      </c>
      <c r="D182" s="4">
        <v>0.05</v>
      </c>
      <c r="E182" s="5">
        <f t="shared" si="15"/>
        <v>1.5340909102499987</v>
      </c>
      <c r="F182" s="1">
        <v>2.2727272699999999</v>
      </c>
      <c r="G182" s="1">
        <f t="shared" si="16"/>
        <v>3.8068181802499987</v>
      </c>
    </row>
    <row r="183" spans="1:7" x14ac:dyDescent="0.2">
      <c r="A183" s="1" t="s">
        <v>73</v>
      </c>
      <c r="B183" s="3">
        <v>48953</v>
      </c>
      <c r="C183" s="1">
        <f t="shared" si="18"/>
        <v>56.818181869999947</v>
      </c>
      <c r="D183" s="4">
        <v>0.05</v>
      </c>
      <c r="E183" s="5">
        <f t="shared" si="15"/>
        <v>1.4772727284999989</v>
      </c>
      <c r="F183" s="1">
        <v>2.2727272699999999</v>
      </c>
      <c r="G183" s="1">
        <f t="shared" si="16"/>
        <v>3.749999998499999</v>
      </c>
    </row>
    <row r="184" spans="1:7" x14ac:dyDescent="0.2">
      <c r="A184" s="1" t="s">
        <v>73</v>
      </c>
      <c r="B184" s="3">
        <v>49134</v>
      </c>
      <c r="C184" s="1">
        <f t="shared" si="18"/>
        <v>54.54545459999995</v>
      </c>
      <c r="D184" s="4">
        <v>0.05</v>
      </c>
      <c r="E184" s="5">
        <f t="shared" si="15"/>
        <v>1.4204545467499987</v>
      </c>
      <c r="F184" s="1">
        <v>2.2727272699999999</v>
      </c>
      <c r="G184" s="1">
        <f t="shared" si="16"/>
        <v>3.6931818167499983</v>
      </c>
    </row>
    <row r="185" spans="1:7" x14ac:dyDescent="0.2">
      <c r="A185" s="1" t="s">
        <v>73</v>
      </c>
      <c r="B185" s="3">
        <v>49318</v>
      </c>
      <c r="C185" s="1">
        <f t="shared" si="18"/>
        <v>52.272727329999952</v>
      </c>
      <c r="D185" s="4">
        <v>0.05</v>
      </c>
      <c r="E185" s="5">
        <f t="shared" si="15"/>
        <v>1.3636363649999987</v>
      </c>
      <c r="F185" s="1">
        <v>2.2727272699999999</v>
      </c>
      <c r="G185" s="1">
        <f t="shared" si="16"/>
        <v>3.6363636349999986</v>
      </c>
    </row>
    <row r="186" spans="1:7" x14ac:dyDescent="0.2">
      <c r="A186" s="1" t="s">
        <v>73</v>
      </c>
      <c r="B186" s="3">
        <v>49499</v>
      </c>
      <c r="C186" s="1">
        <f t="shared" si="18"/>
        <v>50.000000059999955</v>
      </c>
      <c r="D186" s="4">
        <v>0.05</v>
      </c>
      <c r="E186" s="5">
        <f t="shared" si="15"/>
        <v>1.306818183249999</v>
      </c>
      <c r="F186" s="1">
        <v>2.2727272699999999</v>
      </c>
      <c r="G186" s="1">
        <f t="shared" si="16"/>
        <v>3.5795454532499988</v>
      </c>
    </row>
    <row r="187" spans="1:7" x14ac:dyDescent="0.2">
      <c r="A187" s="1" t="s">
        <v>73</v>
      </c>
      <c r="B187" s="3">
        <v>49683</v>
      </c>
      <c r="C187" s="1">
        <f t="shared" si="18"/>
        <v>47.727272789999958</v>
      </c>
      <c r="D187" s="4">
        <v>0.05</v>
      </c>
      <c r="E187" s="5">
        <f t="shared" si="15"/>
        <v>1.250000001499999</v>
      </c>
      <c r="F187" s="1">
        <v>2.2727272699999999</v>
      </c>
      <c r="G187" s="1">
        <f t="shared" si="16"/>
        <v>3.5227272714999991</v>
      </c>
    </row>
    <row r="188" spans="1:7" x14ac:dyDescent="0.2">
      <c r="A188" s="1" t="s">
        <v>73</v>
      </c>
      <c r="B188" s="3">
        <v>49865</v>
      </c>
      <c r="C188" s="1">
        <f t="shared" si="18"/>
        <v>45.454545519999961</v>
      </c>
      <c r="D188" s="4">
        <v>0.05</v>
      </c>
      <c r="E188" s="5">
        <f t="shared" si="15"/>
        <v>1.193181819749999</v>
      </c>
      <c r="F188" s="1">
        <v>2.2727272699999999</v>
      </c>
      <c r="G188" s="1">
        <f t="shared" si="16"/>
        <v>3.4659090897499989</v>
      </c>
    </row>
    <row r="189" spans="1:7" x14ac:dyDescent="0.2">
      <c r="A189" s="1" t="s">
        <v>73</v>
      </c>
      <c r="B189" s="3">
        <v>50049</v>
      </c>
      <c r="C189" s="1">
        <f t="shared" si="18"/>
        <v>43.181818249999964</v>
      </c>
      <c r="D189" s="4">
        <v>0.05</v>
      </c>
      <c r="E189" s="5">
        <f t="shared" si="15"/>
        <v>1.1363636379999991</v>
      </c>
      <c r="F189" s="1">
        <v>2.2727272699999999</v>
      </c>
      <c r="G189" s="1">
        <f t="shared" si="16"/>
        <v>3.4090909079999987</v>
      </c>
    </row>
    <row r="190" spans="1:7" x14ac:dyDescent="0.2">
      <c r="A190" s="1" t="s">
        <v>73</v>
      </c>
      <c r="B190" s="3">
        <v>50230</v>
      </c>
      <c r="C190" s="1">
        <f t="shared" si="18"/>
        <v>40.909090979999966</v>
      </c>
      <c r="D190" s="4">
        <v>0.05</v>
      </c>
      <c r="E190" s="5">
        <f t="shared" si="15"/>
        <v>1.0795454562499991</v>
      </c>
      <c r="F190" s="1">
        <v>2.2727272699999999</v>
      </c>
      <c r="G190" s="1">
        <f t="shared" si="16"/>
        <v>3.3522727262499989</v>
      </c>
    </row>
    <row r="191" spans="1:7" x14ac:dyDescent="0.2">
      <c r="A191" s="1" t="s">
        <v>73</v>
      </c>
      <c r="B191" s="3">
        <v>50414</v>
      </c>
      <c r="C191" s="1">
        <f t="shared" si="18"/>
        <v>38.636363709999969</v>
      </c>
      <c r="D191" s="4">
        <v>0.05</v>
      </c>
      <c r="E191" s="5">
        <f t="shared" si="15"/>
        <v>1.0227272744999991</v>
      </c>
      <c r="F191" s="1">
        <v>2.2727272699999999</v>
      </c>
      <c r="G191" s="1">
        <f t="shared" si="16"/>
        <v>3.2954545444999992</v>
      </c>
    </row>
    <row r="192" spans="1:7" x14ac:dyDescent="0.2">
      <c r="A192" s="1" t="s">
        <v>73</v>
      </c>
      <c r="B192" s="3">
        <v>50595</v>
      </c>
      <c r="C192" s="1">
        <f t="shared" si="18"/>
        <v>36.363636439999972</v>
      </c>
      <c r="D192" s="4">
        <v>0.05</v>
      </c>
      <c r="E192" s="5">
        <f t="shared" si="15"/>
        <v>0.96590909274999925</v>
      </c>
      <c r="F192" s="1">
        <v>2.2727272699999999</v>
      </c>
      <c r="G192" s="1">
        <f t="shared" si="16"/>
        <v>3.238636362749999</v>
      </c>
    </row>
    <row r="193" spans="1:7" x14ac:dyDescent="0.2">
      <c r="A193" s="1" t="s">
        <v>73</v>
      </c>
      <c r="B193" s="3">
        <v>50779</v>
      </c>
      <c r="C193" s="1">
        <f t="shared" si="18"/>
        <v>34.090909169999975</v>
      </c>
      <c r="D193" s="4">
        <v>0.05</v>
      </c>
      <c r="E193" s="5">
        <f t="shared" si="15"/>
        <v>0.90909091099999939</v>
      </c>
      <c r="F193" s="1">
        <v>2.2727272699999999</v>
      </c>
      <c r="G193" s="1">
        <f t="shared" si="16"/>
        <v>3.1818181809999992</v>
      </c>
    </row>
    <row r="194" spans="1:7" x14ac:dyDescent="0.2">
      <c r="A194" s="1" t="s">
        <v>73</v>
      </c>
      <c r="B194" s="3">
        <v>50960</v>
      </c>
      <c r="C194" s="1">
        <f t="shared" si="18"/>
        <v>31.818181899999974</v>
      </c>
      <c r="D194" s="4">
        <v>0.05</v>
      </c>
      <c r="E194" s="5">
        <f t="shared" si="15"/>
        <v>0.85227272924999942</v>
      </c>
      <c r="F194" s="1">
        <v>2.2727272699999999</v>
      </c>
      <c r="G194" s="1">
        <f t="shared" si="16"/>
        <v>3.124999999249999</v>
      </c>
    </row>
    <row r="195" spans="1:7" x14ac:dyDescent="0.2">
      <c r="A195" s="1" t="s">
        <v>73</v>
      </c>
      <c r="B195" s="3">
        <v>51144</v>
      </c>
      <c r="C195" s="1">
        <f t="shared" si="18"/>
        <v>29.545454629999973</v>
      </c>
      <c r="D195" s="4">
        <v>0.05</v>
      </c>
      <c r="E195" s="5">
        <f t="shared" si="15"/>
        <v>0.79545454749999944</v>
      </c>
      <c r="F195" s="1">
        <v>2.2727272699999999</v>
      </c>
      <c r="G195" s="1">
        <f t="shared" si="16"/>
        <v>3.0681818174999993</v>
      </c>
    </row>
    <row r="196" spans="1:7" x14ac:dyDescent="0.2">
      <c r="A196" s="1" t="s">
        <v>73</v>
      </c>
      <c r="B196" s="3">
        <v>51326</v>
      </c>
      <c r="C196" s="1">
        <f t="shared" si="18"/>
        <v>27.272727359999973</v>
      </c>
      <c r="D196" s="4">
        <v>0.05</v>
      </c>
      <c r="E196" s="5">
        <f t="shared" si="15"/>
        <v>0.73863636574999936</v>
      </c>
      <c r="F196" s="1">
        <v>2.2727272699999999</v>
      </c>
      <c r="G196" s="1">
        <f t="shared" si="16"/>
        <v>3.0113636357499991</v>
      </c>
    </row>
    <row r="197" spans="1:7" x14ac:dyDescent="0.2">
      <c r="A197" s="1" t="s">
        <v>73</v>
      </c>
      <c r="B197" s="3">
        <v>51510</v>
      </c>
      <c r="C197" s="1">
        <f t="shared" si="18"/>
        <v>25.000000089999972</v>
      </c>
      <c r="D197" s="4">
        <v>0.05</v>
      </c>
      <c r="E197" s="5">
        <f t="shared" si="15"/>
        <v>0.68181818399999938</v>
      </c>
      <c r="F197" s="1">
        <v>2.2727272699999999</v>
      </c>
      <c r="G197" s="1">
        <f t="shared" si="16"/>
        <v>2.9545454539999993</v>
      </c>
    </row>
    <row r="198" spans="1:7" x14ac:dyDescent="0.2">
      <c r="A198" s="1" t="s">
        <v>73</v>
      </c>
      <c r="B198" s="3">
        <v>51691</v>
      </c>
      <c r="C198" s="1">
        <f t="shared" si="18"/>
        <v>22.727272819999971</v>
      </c>
      <c r="D198" s="4">
        <v>0.05</v>
      </c>
      <c r="E198" s="5">
        <f t="shared" si="15"/>
        <v>0.6250000022499993</v>
      </c>
      <c r="F198" s="1">
        <v>2.2727272699999999</v>
      </c>
      <c r="G198" s="1">
        <f t="shared" si="16"/>
        <v>2.8977272722499992</v>
      </c>
    </row>
    <row r="199" spans="1:7" x14ac:dyDescent="0.2">
      <c r="A199" s="1" t="s">
        <v>73</v>
      </c>
      <c r="B199" s="3">
        <v>51875</v>
      </c>
      <c r="C199" s="1">
        <f t="shared" si="18"/>
        <v>20.45454554999997</v>
      </c>
      <c r="D199" s="4">
        <v>0.05</v>
      </c>
      <c r="E199" s="5">
        <f t="shared" ref="E199:E208" si="19">((D199*C198)/360)*DAYS360(B198,B199)</f>
        <v>0.56818182049999932</v>
      </c>
      <c r="F199" s="1">
        <v>2.2727272699999999</v>
      </c>
      <c r="G199" s="1">
        <f t="shared" ref="G199:G208" si="20">F199+E199</f>
        <v>2.8409090904999994</v>
      </c>
    </row>
    <row r="200" spans="1:7" x14ac:dyDescent="0.2">
      <c r="A200" s="1" t="s">
        <v>73</v>
      </c>
      <c r="B200" s="3">
        <v>52056</v>
      </c>
      <c r="C200" s="1">
        <f t="shared" si="18"/>
        <v>18.18181827999997</v>
      </c>
      <c r="D200" s="4">
        <v>0.05</v>
      </c>
      <c r="E200" s="5">
        <f t="shared" si="19"/>
        <v>0.51136363874999924</v>
      </c>
      <c r="F200" s="1">
        <v>2.2727272699999999</v>
      </c>
      <c r="G200" s="1">
        <f t="shared" si="20"/>
        <v>2.7840909087499992</v>
      </c>
    </row>
    <row r="201" spans="1:7" x14ac:dyDescent="0.2">
      <c r="A201" s="1" t="s">
        <v>73</v>
      </c>
      <c r="B201" s="3">
        <v>52240</v>
      </c>
      <c r="C201" s="1">
        <f t="shared" si="18"/>
        <v>15.909091009999969</v>
      </c>
      <c r="D201" s="4">
        <v>0.05</v>
      </c>
      <c r="E201" s="5">
        <f t="shared" si="19"/>
        <v>0.45454545699999926</v>
      </c>
      <c r="F201" s="1">
        <v>2.2727272699999999</v>
      </c>
      <c r="G201" s="1">
        <f t="shared" si="20"/>
        <v>2.727272726999999</v>
      </c>
    </row>
    <row r="202" spans="1:7" x14ac:dyDescent="0.2">
      <c r="A202" s="1" t="s">
        <v>73</v>
      </c>
      <c r="B202" s="3">
        <v>52421</v>
      </c>
      <c r="C202" s="1">
        <f t="shared" si="18"/>
        <v>13.636363739999968</v>
      </c>
      <c r="D202" s="4">
        <v>0.05</v>
      </c>
      <c r="E202" s="5">
        <f t="shared" si="19"/>
        <v>0.39772727524999929</v>
      </c>
      <c r="F202" s="1">
        <v>2.2727272699999999</v>
      </c>
      <c r="G202" s="1">
        <f t="shared" si="20"/>
        <v>2.6704545452499993</v>
      </c>
    </row>
    <row r="203" spans="1:7" x14ac:dyDescent="0.2">
      <c r="A203" s="1" t="s">
        <v>73</v>
      </c>
      <c r="B203" s="3">
        <v>52605</v>
      </c>
      <c r="C203" s="1">
        <f t="shared" si="18"/>
        <v>11.363636469999967</v>
      </c>
      <c r="D203" s="4">
        <v>0.05</v>
      </c>
      <c r="E203" s="5">
        <f t="shared" si="19"/>
        <v>0.34090909349999921</v>
      </c>
      <c r="F203" s="1">
        <v>2.2727272699999999</v>
      </c>
      <c r="G203" s="1">
        <f t="shared" si="20"/>
        <v>2.6136363634999991</v>
      </c>
    </row>
    <row r="204" spans="1:7" x14ac:dyDescent="0.2">
      <c r="A204" s="1" t="s">
        <v>73</v>
      </c>
      <c r="B204" s="3">
        <v>52787</v>
      </c>
      <c r="C204" s="1">
        <f t="shared" si="18"/>
        <v>9.0909091999999667</v>
      </c>
      <c r="D204" s="4">
        <v>0.05</v>
      </c>
      <c r="E204" s="5">
        <f t="shared" si="19"/>
        <v>0.28409091174999918</v>
      </c>
      <c r="F204" s="1">
        <v>2.2727272699999999</v>
      </c>
      <c r="G204" s="1">
        <f t="shared" si="20"/>
        <v>2.5568181817499989</v>
      </c>
    </row>
    <row r="205" spans="1:7" x14ac:dyDescent="0.2">
      <c r="A205" s="1" t="s">
        <v>73</v>
      </c>
      <c r="B205" s="3">
        <v>52971</v>
      </c>
      <c r="C205" s="1">
        <f t="shared" si="18"/>
        <v>6.8181819299999669</v>
      </c>
      <c r="D205" s="4">
        <v>0.05</v>
      </c>
      <c r="E205" s="5">
        <f t="shared" si="19"/>
        <v>0.22727272999999917</v>
      </c>
      <c r="F205" s="1">
        <v>2.2727272699999999</v>
      </c>
      <c r="G205" s="1">
        <f t="shared" si="20"/>
        <v>2.4999999999999991</v>
      </c>
    </row>
    <row r="206" spans="1:7" x14ac:dyDescent="0.2">
      <c r="A206" s="1" t="s">
        <v>73</v>
      </c>
      <c r="B206" s="3">
        <v>53152</v>
      </c>
      <c r="C206" s="1">
        <f t="shared" si="18"/>
        <v>4.545454659999967</v>
      </c>
      <c r="D206" s="4">
        <v>0.05</v>
      </c>
      <c r="E206" s="5">
        <f t="shared" si="19"/>
        <v>0.17045454824999917</v>
      </c>
      <c r="F206" s="1">
        <v>2.2727272699999999</v>
      </c>
      <c r="G206" s="1">
        <f t="shared" si="20"/>
        <v>2.4431818182499989</v>
      </c>
    </row>
    <row r="207" spans="1:7" x14ac:dyDescent="0.2">
      <c r="A207" s="1" t="s">
        <v>73</v>
      </c>
      <c r="B207" s="3">
        <v>53336</v>
      </c>
      <c r="C207" s="1">
        <f t="shared" si="18"/>
        <v>2.2727273899999672</v>
      </c>
      <c r="D207" s="4">
        <v>0.05</v>
      </c>
      <c r="E207" s="5">
        <f t="shared" si="19"/>
        <v>0.11363636649999918</v>
      </c>
      <c r="F207" s="1">
        <v>2.2727272699999999</v>
      </c>
      <c r="G207" s="1">
        <f t="shared" si="20"/>
        <v>2.3863636364999992</v>
      </c>
    </row>
    <row r="208" spans="1:7" x14ac:dyDescent="0.2">
      <c r="A208" s="1" t="s">
        <v>73</v>
      </c>
      <c r="B208" s="3">
        <v>53517</v>
      </c>
      <c r="C208" s="1">
        <v>0</v>
      </c>
      <c r="D208" s="4">
        <v>0.05</v>
      </c>
      <c r="E208" s="5">
        <f t="shared" si="19"/>
        <v>5.6818184749999182E-2</v>
      </c>
      <c r="F208" s="1">
        <v>2.2727272699999999</v>
      </c>
      <c r="G208" s="1">
        <f t="shared" si="20"/>
        <v>2.329545454749999</v>
      </c>
    </row>
    <row r="209" spans="1:7" x14ac:dyDescent="0.2">
      <c r="A209" s="1"/>
      <c r="B209" s="3"/>
      <c r="C209" s="1"/>
      <c r="D209" s="4"/>
      <c r="E209" s="5"/>
      <c r="F209" s="1"/>
      <c r="G209" s="1"/>
    </row>
    <row r="210" spans="1:7" x14ac:dyDescent="0.2">
      <c r="A210" s="1"/>
      <c r="B210" s="3"/>
      <c r="C210" s="1"/>
      <c r="D210" s="4"/>
      <c r="E210" s="5"/>
      <c r="F210" s="1"/>
      <c r="G210" s="1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994C8-E751-45DD-BADE-8391DD033366}">
  <dimension ref="A1:G39"/>
  <sheetViews>
    <sheetView topLeftCell="A31" workbookViewId="0">
      <selection activeCell="D44" sqref="D44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78</v>
      </c>
      <c r="B2" s="3">
        <v>45296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78</v>
      </c>
      <c r="B3" s="3">
        <v>45596</v>
      </c>
      <c r="C3" s="1">
        <v>100</v>
      </c>
      <c r="D3" s="4">
        <v>0.05</v>
      </c>
      <c r="E3" s="5">
        <f t="shared" ref="E3" si="0">((D3*C2)/360)*DAYS360(B2,B3)</f>
        <v>4.1111111111111107</v>
      </c>
      <c r="F3" s="1">
        <v>0</v>
      </c>
      <c r="G3" s="1">
        <f t="shared" ref="G3" si="1">F3+E3</f>
        <v>4.1111111111111107</v>
      </c>
    </row>
    <row r="4" spans="1:7" x14ac:dyDescent="0.2">
      <c r="A4" s="1" t="s">
        <v>78</v>
      </c>
      <c r="B4" s="3">
        <v>45777</v>
      </c>
      <c r="C4" s="1">
        <v>100</v>
      </c>
      <c r="D4" s="4">
        <v>0.05</v>
      </c>
      <c r="E4" s="5">
        <f t="shared" ref="E4:E9" si="2">((D4*C3)/360)*DAYS360(B3,B4)</f>
        <v>2.5</v>
      </c>
      <c r="F4" s="1">
        <v>0</v>
      </c>
      <c r="G4" s="1">
        <f t="shared" ref="G4:G9" si="3">F4+E4</f>
        <v>2.5</v>
      </c>
    </row>
    <row r="5" spans="1:7" x14ac:dyDescent="0.2">
      <c r="A5" s="1" t="s">
        <v>78</v>
      </c>
      <c r="B5" s="3">
        <v>45961</v>
      </c>
      <c r="C5" s="1">
        <v>100</v>
      </c>
      <c r="D5" s="4">
        <v>0.05</v>
      </c>
      <c r="E5" s="5">
        <f t="shared" si="2"/>
        <v>2.5</v>
      </c>
      <c r="F5" s="1">
        <v>0</v>
      </c>
      <c r="G5" s="1">
        <f t="shared" si="3"/>
        <v>2.5</v>
      </c>
    </row>
    <row r="6" spans="1:7" x14ac:dyDescent="0.2">
      <c r="A6" s="1" t="s">
        <v>78</v>
      </c>
      <c r="B6" s="3">
        <v>46142</v>
      </c>
      <c r="C6" s="1">
        <v>100</v>
      </c>
      <c r="D6" s="4">
        <v>0.05</v>
      </c>
      <c r="E6" s="5">
        <f t="shared" si="2"/>
        <v>2.5</v>
      </c>
      <c r="F6" s="1">
        <v>0</v>
      </c>
      <c r="G6" s="1">
        <f t="shared" si="3"/>
        <v>2.5</v>
      </c>
    </row>
    <row r="7" spans="1:7" x14ac:dyDescent="0.2">
      <c r="A7" s="1" t="s">
        <v>78</v>
      </c>
      <c r="B7" s="3">
        <v>46326</v>
      </c>
      <c r="C7" s="1">
        <v>100</v>
      </c>
      <c r="D7" s="4">
        <v>0.05</v>
      </c>
      <c r="E7" s="5">
        <f t="shared" si="2"/>
        <v>2.5</v>
      </c>
      <c r="F7" s="1">
        <v>0</v>
      </c>
      <c r="G7" s="1">
        <f t="shared" si="3"/>
        <v>2.5</v>
      </c>
    </row>
    <row r="8" spans="1:7" x14ac:dyDescent="0.2">
      <c r="A8" s="1" t="s">
        <v>78</v>
      </c>
      <c r="B8" s="3">
        <v>46507</v>
      </c>
      <c r="C8" s="1">
        <f>C7-F8</f>
        <v>50</v>
      </c>
      <c r="D8" s="4">
        <v>0.05</v>
      </c>
      <c r="E8" s="5">
        <f t="shared" si="2"/>
        <v>2.5</v>
      </c>
      <c r="F8" s="1">
        <v>50</v>
      </c>
      <c r="G8" s="1">
        <f t="shared" si="3"/>
        <v>52.5</v>
      </c>
    </row>
    <row r="9" spans="1:7" x14ac:dyDescent="0.2">
      <c r="A9" s="1" t="s">
        <v>78</v>
      </c>
      <c r="B9" s="3">
        <v>46691</v>
      </c>
      <c r="C9" s="1">
        <f>C8-F9</f>
        <v>0</v>
      </c>
      <c r="D9" s="4">
        <v>0.05</v>
      </c>
      <c r="E9" s="5">
        <f t="shared" si="2"/>
        <v>1.25</v>
      </c>
      <c r="F9" s="1">
        <v>50</v>
      </c>
      <c r="G9" s="1">
        <f t="shared" si="3"/>
        <v>51.25</v>
      </c>
    </row>
    <row r="11" spans="1:7" x14ac:dyDescent="0.2">
      <c r="A11" s="2" t="s">
        <v>0</v>
      </c>
      <c r="B11" s="2" t="s">
        <v>10</v>
      </c>
      <c r="C11" s="2" t="s">
        <v>11</v>
      </c>
      <c r="D11" s="2" t="s">
        <v>14</v>
      </c>
      <c r="E11" s="2" t="s">
        <v>12</v>
      </c>
      <c r="F11" s="2" t="s">
        <v>13</v>
      </c>
      <c r="G11" s="2" t="s">
        <v>15</v>
      </c>
    </row>
    <row r="12" spans="1:7" x14ac:dyDescent="0.2">
      <c r="A12" s="1" t="s">
        <v>79</v>
      </c>
      <c r="B12" s="3">
        <v>45296</v>
      </c>
      <c r="C12" s="1">
        <v>100</v>
      </c>
      <c r="D12" s="1">
        <v>0</v>
      </c>
      <c r="E12" s="1">
        <v>0</v>
      </c>
      <c r="F12" s="1">
        <v>0</v>
      </c>
      <c r="G12" s="1">
        <f>F12+E12</f>
        <v>0</v>
      </c>
    </row>
    <row r="13" spans="1:7" x14ac:dyDescent="0.2">
      <c r="A13" s="1" t="s">
        <v>79</v>
      </c>
      <c r="B13" s="3">
        <v>45596</v>
      </c>
      <c r="C13" s="1">
        <v>100</v>
      </c>
      <c r="D13" s="4">
        <v>0.05</v>
      </c>
      <c r="E13" s="5">
        <f t="shared" ref="E13:E19" si="4">((D13*C12)/360)*DAYS360(B12,B13)</f>
        <v>4.1111111111111107</v>
      </c>
      <c r="F13" s="1">
        <v>0</v>
      </c>
      <c r="G13" s="1">
        <f t="shared" ref="G13:G19" si="5">F13+E13</f>
        <v>4.1111111111111107</v>
      </c>
    </row>
    <row r="14" spans="1:7" x14ac:dyDescent="0.2">
      <c r="A14" s="1" t="s">
        <v>79</v>
      </c>
      <c r="B14" s="3">
        <v>45777</v>
      </c>
      <c r="C14" s="1">
        <v>100</v>
      </c>
      <c r="D14" s="4">
        <v>0.05</v>
      </c>
      <c r="E14" s="5">
        <f t="shared" si="4"/>
        <v>2.5</v>
      </c>
      <c r="F14" s="1">
        <v>0</v>
      </c>
      <c r="G14" s="1">
        <f t="shared" si="5"/>
        <v>2.5</v>
      </c>
    </row>
    <row r="15" spans="1:7" x14ac:dyDescent="0.2">
      <c r="A15" s="1" t="s">
        <v>79</v>
      </c>
      <c r="B15" s="3">
        <v>45961</v>
      </c>
      <c r="C15" s="1">
        <v>100</v>
      </c>
      <c r="D15" s="4">
        <v>0.05</v>
      </c>
      <c r="E15" s="5">
        <f t="shared" si="4"/>
        <v>2.5</v>
      </c>
      <c r="F15" s="1">
        <v>0</v>
      </c>
      <c r="G15" s="1">
        <f t="shared" si="5"/>
        <v>2.5</v>
      </c>
    </row>
    <row r="16" spans="1:7" x14ac:dyDescent="0.2">
      <c r="A16" s="1" t="s">
        <v>79</v>
      </c>
      <c r="B16" s="3">
        <v>46142</v>
      </c>
      <c r="C16" s="1">
        <v>100</v>
      </c>
      <c r="D16" s="4">
        <v>0.05</v>
      </c>
      <c r="E16" s="5">
        <f t="shared" si="4"/>
        <v>2.5</v>
      </c>
      <c r="F16" s="1">
        <v>0</v>
      </c>
      <c r="G16" s="1">
        <f t="shared" si="5"/>
        <v>2.5</v>
      </c>
    </row>
    <row r="17" spans="1:7" x14ac:dyDescent="0.2">
      <c r="A17" s="1" t="s">
        <v>79</v>
      </c>
      <c r="B17" s="3">
        <v>46326</v>
      </c>
      <c r="C17" s="1">
        <v>100</v>
      </c>
      <c r="D17" s="4">
        <v>0.05</v>
      </c>
      <c r="E17" s="5">
        <f t="shared" si="4"/>
        <v>2.5</v>
      </c>
      <c r="F17" s="1">
        <v>0</v>
      </c>
      <c r="G17" s="1">
        <f t="shared" si="5"/>
        <v>2.5</v>
      </c>
    </row>
    <row r="18" spans="1:7" x14ac:dyDescent="0.2">
      <c r="A18" s="1" t="s">
        <v>79</v>
      </c>
      <c r="B18" s="3">
        <v>46507</v>
      </c>
      <c r="C18" s="1">
        <f>C17-F18</f>
        <v>50</v>
      </c>
      <c r="D18" s="4">
        <v>0.05</v>
      </c>
      <c r="E18" s="5">
        <f t="shared" si="4"/>
        <v>2.5</v>
      </c>
      <c r="F18" s="1">
        <v>50</v>
      </c>
      <c r="G18" s="1">
        <f t="shared" si="5"/>
        <v>52.5</v>
      </c>
    </row>
    <row r="19" spans="1:7" x14ac:dyDescent="0.2">
      <c r="A19" s="1" t="s">
        <v>79</v>
      </c>
      <c r="B19" s="3">
        <v>46691</v>
      </c>
      <c r="C19" s="1">
        <f>C18-F19</f>
        <v>0</v>
      </c>
      <c r="D19" s="4">
        <v>0.05</v>
      </c>
      <c r="E19" s="5">
        <f t="shared" si="4"/>
        <v>1.25</v>
      </c>
      <c r="F19" s="1">
        <v>50</v>
      </c>
      <c r="G19" s="1">
        <f t="shared" si="5"/>
        <v>51.25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80</v>
      </c>
      <c r="B22" s="3">
        <v>45832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80</v>
      </c>
      <c r="B23" s="3">
        <v>45961</v>
      </c>
      <c r="C23" s="1">
        <v>100</v>
      </c>
      <c r="D23" s="4">
        <v>0.03</v>
      </c>
      <c r="E23" s="5">
        <f t="shared" ref="E23:E29" si="6">((D23*C22)/360)*DAYS360(B22,B23)</f>
        <v>1.0583333333333333</v>
      </c>
      <c r="F23" s="1">
        <v>0</v>
      </c>
      <c r="G23" s="1">
        <f t="shared" ref="G23:G29" si="7">F23+E23</f>
        <v>1.0583333333333333</v>
      </c>
    </row>
    <row r="24" spans="1:7" x14ac:dyDescent="0.2">
      <c r="A24" s="1" t="s">
        <v>80</v>
      </c>
      <c r="B24" s="3">
        <v>46142</v>
      </c>
      <c r="C24" s="1">
        <v>100</v>
      </c>
      <c r="D24" s="4">
        <v>0.03</v>
      </c>
      <c r="E24" s="5">
        <f t="shared" si="6"/>
        <v>1.5</v>
      </c>
      <c r="F24" s="1">
        <v>0</v>
      </c>
      <c r="G24" s="1">
        <f t="shared" si="7"/>
        <v>1.5</v>
      </c>
    </row>
    <row r="25" spans="1:7" x14ac:dyDescent="0.2">
      <c r="A25" s="1" t="s">
        <v>80</v>
      </c>
      <c r="B25" s="3">
        <v>46326</v>
      </c>
      <c r="C25" s="1">
        <v>100</v>
      </c>
      <c r="D25" s="4">
        <v>0.03</v>
      </c>
      <c r="E25" s="5">
        <f t="shared" si="6"/>
        <v>1.5</v>
      </c>
      <c r="F25" s="1">
        <v>0</v>
      </c>
      <c r="G25" s="1">
        <f t="shared" si="7"/>
        <v>1.5</v>
      </c>
    </row>
    <row r="26" spans="1:7" x14ac:dyDescent="0.2">
      <c r="A26" s="1" t="s">
        <v>80</v>
      </c>
      <c r="B26" s="3">
        <v>46507</v>
      </c>
      <c r="C26" s="1">
        <f>C25-F26</f>
        <v>100</v>
      </c>
      <c r="D26" s="4">
        <v>0.03</v>
      </c>
      <c r="E26" s="5">
        <f t="shared" si="6"/>
        <v>1.5</v>
      </c>
      <c r="F26" s="1">
        <v>0</v>
      </c>
      <c r="G26" s="1">
        <f t="shared" si="7"/>
        <v>1.5</v>
      </c>
    </row>
    <row r="27" spans="1:7" x14ac:dyDescent="0.2">
      <c r="A27" s="1" t="s">
        <v>80</v>
      </c>
      <c r="B27" s="3">
        <v>46691</v>
      </c>
      <c r="C27" s="1">
        <f>C26-F27</f>
        <v>100</v>
      </c>
      <c r="D27" s="4">
        <v>0.03</v>
      </c>
      <c r="E27" s="5">
        <f t="shared" si="6"/>
        <v>1.5</v>
      </c>
      <c r="F27" s="1">
        <v>0</v>
      </c>
      <c r="G27" s="1">
        <f t="shared" si="7"/>
        <v>1.5</v>
      </c>
    </row>
    <row r="28" spans="1:7" x14ac:dyDescent="0.2">
      <c r="A28" s="1" t="s">
        <v>80</v>
      </c>
      <c r="B28" s="3">
        <v>46873</v>
      </c>
      <c r="C28" s="1">
        <f t="shared" ref="C28:C29" si="8">C27-F28</f>
        <v>100</v>
      </c>
      <c r="D28" s="4">
        <v>0.03</v>
      </c>
      <c r="E28" s="5">
        <f t="shared" si="6"/>
        <v>1.5</v>
      </c>
      <c r="F28" s="1">
        <v>0</v>
      </c>
      <c r="G28" s="1">
        <f t="shared" si="7"/>
        <v>1.5</v>
      </c>
    </row>
    <row r="29" spans="1:7" x14ac:dyDescent="0.2">
      <c r="A29" s="1" t="s">
        <v>80</v>
      </c>
      <c r="B29" s="3">
        <v>47057</v>
      </c>
      <c r="C29" s="1">
        <f t="shared" si="8"/>
        <v>0</v>
      </c>
      <c r="D29" s="4">
        <v>0.03</v>
      </c>
      <c r="E29" s="5">
        <f t="shared" si="6"/>
        <v>1.5</v>
      </c>
      <c r="F29" s="1">
        <v>100</v>
      </c>
      <c r="G29" s="1">
        <f t="shared" si="7"/>
        <v>101.5</v>
      </c>
    </row>
    <row r="30" spans="1:7" x14ac:dyDescent="0.2">
      <c r="A30" s="1"/>
      <c r="B30" s="3"/>
      <c r="C30" s="1"/>
      <c r="D30" s="4"/>
      <c r="E30" s="5"/>
      <c r="F30" s="1"/>
      <c r="G30" s="1"/>
    </row>
    <row r="31" spans="1:7" x14ac:dyDescent="0.2">
      <c r="A31" s="2" t="s">
        <v>0</v>
      </c>
      <c r="B31" s="2" t="s">
        <v>10</v>
      </c>
      <c r="C31" s="2" t="s">
        <v>11</v>
      </c>
      <c r="D31" s="2" t="s">
        <v>14</v>
      </c>
      <c r="E31" s="2" t="s">
        <v>12</v>
      </c>
      <c r="F31" s="2" t="s">
        <v>13</v>
      </c>
      <c r="G31" s="2" t="s">
        <v>15</v>
      </c>
    </row>
    <row r="32" spans="1:7" x14ac:dyDescent="0.2">
      <c r="A32" s="1" t="s">
        <v>81</v>
      </c>
      <c r="B32" s="3">
        <v>45832</v>
      </c>
      <c r="C32" s="1">
        <v>100</v>
      </c>
      <c r="D32" s="1">
        <v>0</v>
      </c>
      <c r="E32" s="1">
        <v>0</v>
      </c>
      <c r="F32" s="1">
        <v>0</v>
      </c>
      <c r="G32" s="1">
        <f>F32+E32</f>
        <v>0</v>
      </c>
    </row>
    <row r="33" spans="1:7" x14ac:dyDescent="0.2">
      <c r="A33" s="1" t="s">
        <v>81</v>
      </c>
      <c r="B33" s="3">
        <v>45961</v>
      </c>
      <c r="C33" s="1">
        <v>100</v>
      </c>
      <c r="D33" s="4">
        <v>0.03</v>
      </c>
      <c r="E33" s="5">
        <f t="shared" ref="E33:E39" si="9">((D33*C32)/360)*DAYS360(B32,B33)</f>
        <v>1.0583333333333333</v>
      </c>
      <c r="F33" s="1">
        <v>0</v>
      </c>
      <c r="G33" s="1">
        <f t="shared" ref="G33:G39" si="10">F33+E33</f>
        <v>1.0583333333333333</v>
      </c>
    </row>
    <row r="34" spans="1:7" x14ac:dyDescent="0.2">
      <c r="A34" s="1" t="s">
        <v>81</v>
      </c>
      <c r="B34" s="3">
        <v>46142</v>
      </c>
      <c r="C34" s="1">
        <v>100</v>
      </c>
      <c r="D34" s="4">
        <v>0.03</v>
      </c>
      <c r="E34" s="5">
        <f t="shared" si="9"/>
        <v>1.5</v>
      </c>
      <c r="F34" s="1">
        <v>0</v>
      </c>
      <c r="G34" s="1">
        <f t="shared" si="10"/>
        <v>1.5</v>
      </c>
    </row>
    <row r="35" spans="1:7" x14ac:dyDescent="0.2">
      <c r="A35" s="1" t="s">
        <v>81</v>
      </c>
      <c r="B35" s="3">
        <v>46326</v>
      </c>
      <c r="C35" s="1">
        <v>100</v>
      </c>
      <c r="D35" s="4">
        <v>0.03</v>
      </c>
      <c r="E35" s="5">
        <f t="shared" si="9"/>
        <v>1.5</v>
      </c>
      <c r="F35" s="1">
        <v>0</v>
      </c>
      <c r="G35" s="1">
        <f t="shared" si="10"/>
        <v>1.5</v>
      </c>
    </row>
    <row r="36" spans="1:7" x14ac:dyDescent="0.2">
      <c r="A36" s="1" t="s">
        <v>81</v>
      </c>
      <c r="B36" s="3">
        <v>46507</v>
      </c>
      <c r="C36" s="1">
        <f>C35-F36</f>
        <v>100</v>
      </c>
      <c r="D36" s="4">
        <v>0.03</v>
      </c>
      <c r="E36" s="5">
        <f t="shared" si="9"/>
        <v>1.5</v>
      </c>
      <c r="F36" s="1">
        <v>0</v>
      </c>
      <c r="G36" s="1">
        <f t="shared" si="10"/>
        <v>1.5</v>
      </c>
    </row>
    <row r="37" spans="1:7" x14ac:dyDescent="0.2">
      <c r="A37" s="1" t="s">
        <v>81</v>
      </c>
      <c r="B37" s="3">
        <v>46691</v>
      </c>
      <c r="C37" s="1">
        <f>C36-F37</f>
        <v>100</v>
      </c>
      <c r="D37" s="4">
        <v>0.03</v>
      </c>
      <c r="E37" s="5">
        <f t="shared" si="9"/>
        <v>1.5</v>
      </c>
      <c r="F37" s="1">
        <v>0</v>
      </c>
      <c r="G37" s="1">
        <f t="shared" si="10"/>
        <v>1.5</v>
      </c>
    </row>
    <row r="38" spans="1:7" x14ac:dyDescent="0.2">
      <c r="A38" s="1" t="s">
        <v>81</v>
      </c>
      <c r="B38" s="3">
        <v>46873</v>
      </c>
      <c r="C38" s="1">
        <f t="shared" ref="C38:C39" si="11">C37-F38</f>
        <v>100</v>
      </c>
      <c r="D38" s="4">
        <v>0.03</v>
      </c>
      <c r="E38" s="5">
        <f t="shared" si="9"/>
        <v>1.5</v>
      </c>
      <c r="F38" s="1">
        <v>0</v>
      </c>
      <c r="G38" s="1">
        <f t="shared" si="10"/>
        <v>1.5</v>
      </c>
    </row>
    <row r="39" spans="1:7" x14ac:dyDescent="0.2">
      <c r="A39" s="1" t="s">
        <v>81</v>
      </c>
      <c r="B39" s="3">
        <v>47057</v>
      </c>
      <c r="C39" s="1">
        <f t="shared" si="11"/>
        <v>0</v>
      </c>
      <c r="D39" s="4">
        <v>0.03</v>
      </c>
      <c r="E39" s="5">
        <f t="shared" si="9"/>
        <v>1.5</v>
      </c>
      <c r="F39" s="1">
        <v>100</v>
      </c>
      <c r="G39" s="1">
        <f t="shared" si="10"/>
        <v>101.5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3529B-9FFE-49C8-A90D-80E2711BFB43}">
  <dimension ref="A1:G34"/>
  <sheetViews>
    <sheetView workbookViewId="0">
      <selection activeCell="F22" sqref="F22"/>
    </sheetView>
  </sheetViews>
  <sheetFormatPr baseColWidth="10" defaultRowHeight="15" x14ac:dyDescent="0.2"/>
  <cols>
    <col min="1" max="6" width="16.83203125" customWidth="1"/>
  </cols>
  <sheetData>
    <row r="1" spans="1:7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7" x14ac:dyDescent="0.2">
      <c r="A2" s="1" t="s">
        <v>75</v>
      </c>
      <c r="B2" s="1" t="s">
        <v>24</v>
      </c>
      <c r="C2" s="3">
        <v>46157</v>
      </c>
      <c r="D2" s="3">
        <v>46934</v>
      </c>
      <c r="E2" s="1">
        <v>10</v>
      </c>
      <c r="F2" s="1">
        <v>0</v>
      </c>
    </row>
    <row r="3" spans="1:7" x14ac:dyDescent="0.2">
      <c r="A3" s="2" t="s">
        <v>0</v>
      </c>
      <c r="B3" s="2" t="s">
        <v>1</v>
      </c>
      <c r="C3" s="2" t="s">
        <v>18</v>
      </c>
      <c r="D3" s="2" t="s">
        <v>19</v>
      </c>
      <c r="E3" s="2" t="s">
        <v>28</v>
      </c>
      <c r="F3" s="2" t="s">
        <v>21</v>
      </c>
    </row>
    <row r="4" spans="1:7" x14ac:dyDescent="0.2">
      <c r="A4" s="1" t="s">
        <v>75</v>
      </c>
      <c r="B4" s="1" t="s">
        <v>27</v>
      </c>
      <c r="C4" s="3">
        <v>46157</v>
      </c>
      <c r="D4" s="3">
        <v>46934</v>
      </c>
      <c r="E4" s="1">
        <v>10</v>
      </c>
      <c r="F4" s="4">
        <v>0.03</v>
      </c>
    </row>
    <row r="6" spans="1:7" x14ac:dyDescent="0.2">
      <c r="A6" s="2" t="s">
        <v>0</v>
      </c>
      <c r="B6" s="2" t="s">
        <v>1</v>
      </c>
      <c r="C6" s="2" t="s">
        <v>18</v>
      </c>
      <c r="D6" s="2" t="s">
        <v>19</v>
      </c>
      <c r="E6" s="2" t="s">
        <v>20</v>
      </c>
      <c r="F6" s="2" t="s">
        <v>21</v>
      </c>
    </row>
    <row r="7" spans="1:7" x14ac:dyDescent="0.2">
      <c r="A7" s="1" t="s">
        <v>74</v>
      </c>
      <c r="B7" s="1" t="s">
        <v>24</v>
      </c>
      <c r="C7" s="3">
        <v>46142</v>
      </c>
      <c r="D7" s="3">
        <v>47298</v>
      </c>
      <c r="E7" s="1">
        <v>10</v>
      </c>
      <c r="F7" s="1">
        <v>0</v>
      </c>
    </row>
    <row r="8" spans="1:7" x14ac:dyDescent="0.2">
      <c r="A8" s="2" t="s">
        <v>0</v>
      </c>
      <c r="B8" s="2" t="s">
        <v>1</v>
      </c>
      <c r="C8" s="2" t="s">
        <v>18</v>
      </c>
      <c r="D8" s="2" t="s">
        <v>19</v>
      </c>
      <c r="E8" s="2" t="s">
        <v>28</v>
      </c>
      <c r="F8" s="2" t="s">
        <v>21</v>
      </c>
    </row>
    <row r="9" spans="1:7" x14ac:dyDescent="0.2">
      <c r="A9" s="1" t="s">
        <v>74</v>
      </c>
      <c r="B9" s="1" t="s">
        <v>27</v>
      </c>
      <c r="C9" s="3">
        <v>46142</v>
      </c>
      <c r="D9" s="3">
        <v>47298</v>
      </c>
      <c r="E9" s="1">
        <v>10</v>
      </c>
      <c r="F9" s="4">
        <v>0.03</v>
      </c>
    </row>
    <row r="11" spans="1:7" x14ac:dyDescent="0.2">
      <c r="A11" s="2" t="s">
        <v>0</v>
      </c>
      <c r="B11" s="2" t="s">
        <v>1</v>
      </c>
      <c r="C11" s="2" t="s">
        <v>18</v>
      </c>
      <c r="D11" s="2" t="s">
        <v>19</v>
      </c>
      <c r="E11" s="2" t="s">
        <v>28</v>
      </c>
      <c r="F11" s="2" t="s">
        <v>21</v>
      </c>
    </row>
    <row r="12" spans="1:7" x14ac:dyDescent="0.2">
      <c r="A12" s="1" t="s">
        <v>76</v>
      </c>
      <c r="B12" s="1" t="s">
        <v>27</v>
      </c>
      <c r="C12" s="3">
        <v>45686</v>
      </c>
      <c r="D12" s="3">
        <v>46203</v>
      </c>
      <c r="E12" s="1">
        <v>10</v>
      </c>
      <c r="F12" s="4">
        <v>0</v>
      </c>
    </row>
    <row r="13" spans="1:7" x14ac:dyDescent="0.2">
      <c r="A13" s="2" t="s">
        <v>0</v>
      </c>
      <c r="B13" s="2" t="s">
        <v>1</v>
      </c>
      <c r="C13" s="2" t="s">
        <v>2</v>
      </c>
      <c r="D13" s="2" t="s">
        <v>3</v>
      </c>
      <c r="E13" s="2" t="s">
        <v>4</v>
      </c>
      <c r="F13" s="2" t="s">
        <v>5</v>
      </c>
      <c r="G13" s="2" t="s">
        <v>6</v>
      </c>
    </row>
    <row r="14" spans="1:7" x14ac:dyDescent="0.2">
      <c r="A14" s="1" t="s">
        <v>76</v>
      </c>
      <c r="B14" s="1" t="s">
        <v>8</v>
      </c>
      <c r="C14" s="3">
        <v>45686</v>
      </c>
      <c r="D14" s="3">
        <v>46203</v>
      </c>
      <c r="E14" s="1">
        <v>2.19</v>
      </c>
      <c r="F14" s="1">
        <f t="shared" ref="F14" si="0">((YEAR(D14)-YEAR(C14))*360+(MONTH(D14)-MONTH(C14))*30+(DAY(D14)-DAY(C14)))/30</f>
        <v>17.033333333333335</v>
      </c>
      <c r="G14" s="1">
        <f t="shared" ref="G14" si="1">100*(1+E14/100)^F14</f>
        <v>144.62933817985532</v>
      </c>
    </row>
    <row r="16" spans="1:7" x14ac:dyDescent="0.2">
      <c r="A16" s="2" t="s">
        <v>0</v>
      </c>
      <c r="B16" s="2" t="s">
        <v>1</v>
      </c>
      <c r="C16" s="2" t="s">
        <v>18</v>
      </c>
      <c r="D16" s="2" t="s">
        <v>19</v>
      </c>
      <c r="E16" s="2" t="s">
        <v>28</v>
      </c>
      <c r="F16" s="2" t="s">
        <v>21</v>
      </c>
    </row>
    <row r="17" spans="1:7" x14ac:dyDescent="0.2">
      <c r="A17" s="1" t="s">
        <v>77</v>
      </c>
      <c r="B17" s="1" t="s">
        <v>27</v>
      </c>
      <c r="C17" s="3">
        <v>45686</v>
      </c>
      <c r="D17" s="3">
        <v>46280</v>
      </c>
      <c r="E17" s="1">
        <v>10</v>
      </c>
      <c r="F17" s="4">
        <v>0</v>
      </c>
    </row>
    <row r="18" spans="1:7" x14ac:dyDescent="0.2">
      <c r="A18" s="2" t="s">
        <v>0</v>
      </c>
      <c r="B18" s="2" t="s">
        <v>1</v>
      </c>
      <c r="C18" s="2" t="s">
        <v>2</v>
      </c>
      <c r="D18" s="2" t="s">
        <v>3</v>
      </c>
      <c r="E18" s="2" t="s">
        <v>4</v>
      </c>
      <c r="F18" s="2" t="s">
        <v>5</v>
      </c>
      <c r="G18" s="2" t="s">
        <v>6</v>
      </c>
    </row>
    <row r="19" spans="1:7" x14ac:dyDescent="0.2">
      <c r="A19" s="1" t="s">
        <v>77</v>
      </c>
      <c r="B19" s="1" t="s">
        <v>8</v>
      </c>
      <c r="C19" s="3">
        <v>45686</v>
      </c>
      <c r="D19" s="3">
        <v>46280</v>
      </c>
      <c r="E19" s="1">
        <v>2.17</v>
      </c>
      <c r="F19" s="1">
        <f t="shared" ref="F19" si="2">((YEAR(D19)-YEAR(C19))*360+(MONTH(D19)-MONTH(C19))*30+(DAY(D19)-DAY(C19)))/30</f>
        <v>19.533333333333335</v>
      </c>
      <c r="G19" s="1">
        <f t="shared" ref="G19" si="3">100*(1+E19/100)^F19</f>
        <v>152.09570515319578</v>
      </c>
    </row>
    <row r="21" spans="1:7" x14ac:dyDescent="0.2">
      <c r="A21" s="2" t="s">
        <v>0</v>
      </c>
      <c r="B21" s="2" t="s">
        <v>1</v>
      </c>
      <c r="C21" s="2" t="s">
        <v>18</v>
      </c>
      <c r="D21" s="2" t="s">
        <v>19</v>
      </c>
      <c r="E21" s="2" t="s">
        <v>20</v>
      </c>
      <c r="F21" s="2" t="s">
        <v>21</v>
      </c>
    </row>
    <row r="22" spans="1:7" x14ac:dyDescent="0.2">
      <c r="A22" s="1" t="s">
        <v>92</v>
      </c>
      <c r="B22" s="1" t="s">
        <v>24</v>
      </c>
      <c r="C22" s="3">
        <v>46189</v>
      </c>
      <c r="D22" s="3">
        <v>47102</v>
      </c>
      <c r="E22" s="1">
        <v>10</v>
      </c>
      <c r="F22" s="1">
        <v>0</v>
      </c>
    </row>
    <row r="23" spans="1:7" x14ac:dyDescent="0.2">
      <c r="A23" s="2" t="s">
        <v>0</v>
      </c>
      <c r="B23" s="2" t="s">
        <v>1</v>
      </c>
      <c r="C23" s="2" t="s">
        <v>18</v>
      </c>
      <c r="D23" s="2" t="s">
        <v>19</v>
      </c>
      <c r="E23" s="2" t="s">
        <v>28</v>
      </c>
      <c r="F23" s="2" t="s">
        <v>21</v>
      </c>
    </row>
    <row r="24" spans="1:7" x14ac:dyDescent="0.2">
      <c r="A24" s="1" t="s">
        <v>92</v>
      </c>
      <c r="B24" s="1" t="s">
        <v>27</v>
      </c>
      <c r="C24" s="3">
        <v>46189</v>
      </c>
      <c r="D24" s="3">
        <v>47102</v>
      </c>
      <c r="E24" s="1">
        <v>10</v>
      </c>
      <c r="F24" s="4">
        <v>0.03</v>
      </c>
    </row>
    <row r="26" spans="1:7" x14ac:dyDescent="0.2">
      <c r="A26" s="2" t="s">
        <v>0</v>
      </c>
      <c r="B26" s="2" t="s">
        <v>1</v>
      </c>
      <c r="C26" s="2" t="s">
        <v>18</v>
      </c>
      <c r="D26" s="2" t="s">
        <v>19</v>
      </c>
      <c r="E26" s="2" t="s">
        <v>20</v>
      </c>
      <c r="F26" s="2" t="s">
        <v>21</v>
      </c>
    </row>
    <row r="27" spans="1:7" x14ac:dyDescent="0.2">
      <c r="A27" s="1" t="s">
        <v>93</v>
      </c>
      <c r="B27" s="1" t="s">
        <v>24</v>
      </c>
      <c r="C27" s="3">
        <v>46189</v>
      </c>
      <c r="D27" s="3">
        <v>47466</v>
      </c>
      <c r="E27" s="1">
        <v>10</v>
      </c>
      <c r="F27" s="1">
        <v>0</v>
      </c>
    </row>
    <row r="28" spans="1:7" x14ac:dyDescent="0.2">
      <c r="A28" s="2" t="s">
        <v>0</v>
      </c>
      <c r="B28" s="2" t="s">
        <v>1</v>
      </c>
      <c r="C28" s="2" t="s">
        <v>18</v>
      </c>
      <c r="D28" s="2" t="s">
        <v>19</v>
      </c>
      <c r="E28" s="2" t="s">
        <v>28</v>
      </c>
      <c r="F28" s="2" t="s">
        <v>21</v>
      </c>
    </row>
    <row r="29" spans="1:7" x14ac:dyDescent="0.2">
      <c r="A29" s="1" t="s">
        <v>93</v>
      </c>
      <c r="B29" s="1" t="s">
        <v>27</v>
      </c>
      <c r="C29" s="3">
        <v>46189</v>
      </c>
      <c r="D29" s="3">
        <v>47466</v>
      </c>
      <c r="E29" s="1">
        <v>10</v>
      </c>
      <c r="F29" s="4">
        <v>0.03</v>
      </c>
    </row>
    <row r="31" spans="1:7" x14ac:dyDescent="0.2">
      <c r="A31" s="2" t="s">
        <v>0</v>
      </c>
      <c r="B31" s="2" t="s">
        <v>1</v>
      </c>
      <c r="C31" s="2" t="s">
        <v>18</v>
      </c>
      <c r="D31" s="2" t="s">
        <v>19</v>
      </c>
      <c r="E31" s="2" t="s">
        <v>20</v>
      </c>
      <c r="F31" s="2" t="s">
        <v>21</v>
      </c>
    </row>
    <row r="32" spans="1:7" x14ac:dyDescent="0.2">
      <c r="A32" s="1" t="s">
        <v>94</v>
      </c>
      <c r="B32" s="1" t="s">
        <v>24</v>
      </c>
      <c r="C32" s="3">
        <v>46189</v>
      </c>
      <c r="D32" s="3">
        <v>47662</v>
      </c>
      <c r="E32" s="1">
        <v>10</v>
      </c>
      <c r="F32" s="1">
        <v>0</v>
      </c>
    </row>
    <row r="33" spans="1:6" x14ac:dyDescent="0.2">
      <c r="A33" s="2" t="s">
        <v>0</v>
      </c>
      <c r="B33" s="2" t="s">
        <v>1</v>
      </c>
      <c r="C33" s="2" t="s">
        <v>18</v>
      </c>
      <c r="D33" s="2" t="s">
        <v>19</v>
      </c>
      <c r="E33" s="2" t="s">
        <v>28</v>
      </c>
      <c r="F33" s="2" t="s">
        <v>21</v>
      </c>
    </row>
    <row r="34" spans="1:6" x14ac:dyDescent="0.2">
      <c r="A34" s="1" t="s">
        <v>94</v>
      </c>
      <c r="B34" s="1" t="s">
        <v>27</v>
      </c>
      <c r="C34" s="3">
        <v>46189</v>
      </c>
      <c r="D34" s="3">
        <v>47662</v>
      </c>
      <c r="E34" s="1">
        <v>10</v>
      </c>
      <c r="F34" s="4">
        <v>0.03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912C5-5827-C647-B9D8-078729724407}">
  <dimension ref="A1:G72"/>
  <sheetViews>
    <sheetView workbookViewId="0">
      <selection activeCell="J42" sqref="J42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85</v>
      </c>
      <c r="B2" s="3">
        <v>45449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85</v>
      </c>
      <c r="B3" s="3">
        <v>45571</v>
      </c>
      <c r="C3" s="1">
        <f t="shared" ref="C3:C8" si="0">C2-F3</f>
        <v>100</v>
      </c>
      <c r="D3" s="4">
        <v>0.05</v>
      </c>
      <c r="E3" s="5">
        <f>((D3*C2)/365)*_xlfn.DAYS(B3,B2)</f>
        <v>1.6712328767123288</v>
      </c>
      <c r="F3" s="1">
        <v>0</v>
      </c>
      <c r="G3" s="1">
        <f t="shared" ref="G3:G8" si="1">F3+E3</f>
        <v>1.6712328767123288</v>
      </c>
    </row>
    <row r="4" spans="1:7" x14ac:dyDescent="0.2">
      <c r="A4" s="1" t="s">
        <v>85</v>
      </c>
      <c r="B4" s="3">
        <v>45694</v>
      </c>
      <c r="C4" s="1">
        <f t="shared" si="0"/>
        <v>100</v>
      </c>
      <c r="D4" s="4">
        <v>0.05</v>
      </c>
      <c r="E4" s="5">
        <f t="shared" ref="E4:E8" si="2">((D4*C3)/365)*_xlfn.DAYS(B4,B3)</f>
        <v>1.6849315068493149</v>
      </c>
      <c r="F4" s="1">
        <v>0</v>
      </c>
      <c r="G4" s="1">
        <f t="shared" si="1"/>
        <v>1.6849315068493149</v>
      </c>
    </row>
    <row r="5" spans="1:7" x14ac:dyDescent="0.2">
      <c r="A5" s="1" t="s">
        <v>85</v>
      </c>
      <c r="B5" s="3">
        <v>45814</v>
      </c>
      <c r="C5" s="1">
        <f t="shared" si="0"/>
        <v>100</v>
      </c>
      <c r="D5" s="4">
        <v>0.05</v>
      </c>
      <c r="E5" s="5">
        <f t="shared" si="2"/>
        <v>1.6438356164383561</v>
      </c>
      <c r="F5" s="1">
        <v>0</v>
      </c>
      <c r="G5" s="1">
        <f t="shared" si="1"/>
        <v>1.6438356164383561</v>
      </c>
    </row>
    <row r="6" spans="1:7" x14ac:dyDescent="0.2">
      <c r="A6" s="1" t="s">
        <v>85</v>
      </c>
      <c r="B6" s="3">
        <v>45936</v>
      </c>
      <c r="C6" s="1">
        <f t="shared" si="0"/>
        <v>100</v>
      </c>
      <c r="D6" s="4">
        <v>0.05</v>
      </c>
      <c r="E6" s="5">
        <f t="shared" si="2"/>
        <v>1.6712328767123288</v>
      </c>
      <c r="F6" s="1">
        <v>0</v>
      </c>
      <c r="G6" s="1">
        <f t="shared" si="1"/>
        <v>1.6712328767123288</v>
      </c>
    </row>
    <row r="7" spans="1:7" x14ac:dyDescent="0.2">
      <c r="A7" s="1" t="s">
        <v>85</v>
      </c>
      <c r="B7" s="3">
        <v>46059</v>
      </c>
      <c r="C7" s="1">
        <f t="shared" si="0"/>
        <v>100</v>
      </c>
      <c r="D7" s="4">
        <v>0.05</v>
      </c>
      <c r="E7" s="5">
        <f t="shared" si="2"/>
        <v>1.6849315068493149</v>
      </c>
      <c r="F7" s="1">
        <v>0</v>
      </c>
      <c r="G7" s="1">
        <f t="shared" si="1"/>
        <v>1.6849315068493149</v>
      </c>
    </row>
    <row r="8" spans="1:7" x14ac:dyDescent="0.2">
      <c r="A8" s="1" t="s">
        <v>85</v>
      </c>
      <c r="B8" s="3">
        <v>46179</v>
      </c>
      <c r="C8" s="1">
        <f t="shared" si="0"/>
        <v>0</v>
      </c>
      <c r="D8" s="4">
        <v>0.05</v>
      </c>
      <c r="E8" s="5">
        <f t="shared" si="2"/>
        <v>1.6438356164383561</v>
      </c>
      <c r="F8" s="1">
        <v>100</v>
      </c>
      <c r="G8" s="1">
        <f t="shared" si="1"/>
        <v>101.64383561643835</v>
      </c>
    </row>
    <row r="9" spans="1:7" x14ac:dyDescent="0.2">
      <c r="A9" s="1"/>
      <c r="B9" s="3"/>
      <c r="C9" s="1"/>
      <c r="D9" s="4"/>
      <c r="E9" s="5"/>
      <c r="F9" s="1"/>
      <c r="G9" s="1"/>
    </row>
    <row r="10" spans="1:7" x14ac:dyDescent="0.2">
      <c r="A10" s="2" t="s">
        <v>0</v>
      </c>
      <c r="B10" s="2" t="s">
        <v>10</v>
      </c>
      <c r="C10" s="2" t="s">
        <v>11</v>
      </c>
      <c r="D10" s="2" t="s">
        <v>14</v>
      </c>
      <c r="E10" s="2" t="s">
        <v>12</v>
      </c>
      <c r="F10" s="2" t="s">
        <v>13</v>
      </c>
      <c r="G10" s="2" t="s">
        <v>15</v>
      </c>
    </row>
    <row r="11" spans="1:7" x14ac:dyDescent="0.2">
      <c r="A11" s="1" t="s">
        <v>86</v>
      </c>
      <c r="B11" s="3">
        <v>46062</v>
      </c>
      <c r="C11" s="1">
        <v>100</v>
      </c>
      <c r="D11" s="1">
        <v>0</v>
      </c>
      <c r="E11" s="1">
        <v>0</v>
      </c>
      <c r="F11" s="1">
        <v>0</v>
      </c>
      <c r="G11" s="1">
        <f>F11+E11</f>
        <v>0</v>
      </c>
    </row>
    <row r="12" spans="1:7" x14ac:dyDescent="0.2">
      <c r="A12" s="1" t="s">
        <v>86</v>
      </c>
      <c r="B12" s="3">
        <v>46142</v>
      </c>
      <c r="C12" s="1">
        <f t="shared" ref="C12:C17" si="3">C11-F12</f>
        <v>100</v>
      </c>
      <c r="D12" s="4">
        <v>7.4999999999999997E-2</v>
      </c>
      <c r="E12" s="5">
        <f>((D12*C11)/365)*_xlfn.DAYS(B12,B11)</f>
        <v>1.6438356164383561</v>
      </c>
      <c r="F12" s="1">
        <v>0</v>
      </c>
      <c r="G12" s="1">
        <f t="shared" ref="G12:G17" si="4">F12+E12</f>
        <v>1.6438356164383561</v>
      </c>
    </row>
    <row r="13" spans="1:7" x14ac:dyDescent="0.2">
      <c r="A13" s="1" t="s">
        <v>86</v>
      </c>
      <c r="B13" s="3">
        <v>46233</v>
      </c>
      <c r="C13" s="1">
        <f t="shared" si="3"/>
        <v>100</v>
      </c>
      <c r="D13" s="4">
        <v>7.4999999999999997E-2</v>
      </c>
      <c r="E13" s="5">
        <f t="shared" ref="E13:E17" si="5">((D13*C12)/365)*_xlfn.DAYS(B13,B12)</f>
        <v>1.8698630136986301</v>
      </c>
      <c r="F13" s="1">
        <v>0</v>
      </c>
      <c r="G13" s="1">
        <f t="shared" si="4"/>
        <v>1.8698630136986301</v>
      </c>
    </row>
    <row r="14" spans="1:7" x14ac:dyDescent="0.2">
      <c r="A14" s="1" t="s">
        <v>86</v>
      </c>
      <c r="B14" s="3">
        <v>46325</v>
      </c>
      <c r="C14" s="1">
        <f t="shared" si="3"/>
        <v>100</v>
      </c>
      <c r="D14" s="4">
        <v>7.4999999999999997E-2</v>
      </c>
      <c r="E14" s="5">
        <f t="shared" si="5"/>
        <v>1.8904109589041096</v>
      </c>
      <c r="F14" s="1">
        <v>0</v>
      </c>
      <c r="G14" s="1">
        <f t="shared" si="4"/>
        <v>1.8904109589041096</v>
      </c>
    </row>
    <row r="15" spans="1:7" x14ac:dyDescent="0.2">
      <c r="A15" s="1" t="s">
        <v>86</v>
      </c>
      <c r="B15" s="3">
        <v>46417</v>
      </c>
      <c r="C15" s="1">
        <f t="shared" si="3"/>
        <v>100</v>
      </c>
      <c r="D15" s="4">
        <v>7.4999999999999997E-2</v>
      </c>
      <c r="E15" s="5">
        <f t="shared" si="5"/>
        <v>1.8904109589041096</v>
      </c>
      <c r="F15" s="1">
        <v>0</v>
      </c>
      <c r="G15" s="1">
        <f t="shared" si="4"/>
        <v>1.8904109589041096</v>
      </c>
    </row>
    <row r="16" spans="1:7" x14ac:dyDescent="0.2">
      <c r="A16" s="1" t="s">
        <v>86</v>
      </c>
      <c r="B16" s="3">
        <v>46507</v>
      </c>
      <c r="C16" s="1">
        <f t="shared" si="3"/>
        <v>100</v>
      </c>
      <c r="D16" s="4">
        <v>7.4999999999999997E-2</v>
      </c>
      <c r="E16" s="5">
        <f t="shared" si="5"/>
        <v>1.8493150684931505</v>
      </c>
      <c r="F16" s="1">
        <v>0</v>
      </c>
      <c r="G16" s="1">
        <f t="shared" si="4"/>
        <v>1.8493150684931505</v>
      </c>
    </row>
    <row r="17" spans="1:7" x14ac:dyDescent="0.2">
      <c r="A17" s="1" t="s">
        <v>86</v>
      </c>
      <c r="B17" s="3">
        <v>46598</v>
      </c>
      <c r="C17" s="1">
        <f t="shared" si="3"/>
        <v>50</v>
      </c>
      <c r="D17" s="4">
        <v>7.4999999999999997E-2</v>
      </c>
      <c r="E17" s="5">
        <f t="shared" si="5"/>
        <v>1.8698630136986301</v>
      </c>
      <c r="F17" s="1">
        <v>50</v>
      </c>
      <c r="G17" s="1">
        <f t="shared" si="4"/>
        <v>51.869863013698627</v>
      </c>
    </row>
    <row r="18" spans="1:7" x14ac:dyDescent="0.2">
      <c r="A18" s="1" t="s">
        <v>86</v>
      </c>
      <c r="B18" s="3">
        <v>46690</v>
      </c>
      <c r="C18" s="1">
        <f t="shared" ref="C18" si="6">C17-F18</f>
        <v>0</v>
      </c>
      <c r="D18" s="4">
        <v>7.4999999999999997E-2</v>
      </c>
      <c r="E18" s="5">
        <f t="shared" ref="E18" si="7">((D18*C17)/365)*_xlfn.DAYS(B18,B17)</f>
        <v>0.9452054794520548</v>
      </c>
      <c r="F18" s="1">
        <v>50</v>
      </c>
      <c r="G18" s="1">
        <f t="shared" ref="G18" si="8">F18+E18</f>
        <v>50.945205479452056</v>
      </c>
    </row>
    <row r="19" spans="1:7" x14ac:dyDescent="0.2">
      <c r="A19" s="1"/>
      <c r="B19" s="3"/>
      <c r="C19" s="1"/>
      <c r="D19" s="4"/>
      <c r="E19" s="5"/>
      <c r="F19" s="1"/>
      <c r="G19" s="1"/>
    </row>
    <row r="20" spans="1:7" x14ac:dyDescent="0.2">
      <c r="A20" s="2" t="s">
        <v>0</v>
      </c>
      <c r="B20" s="2" t="s">
        <v>10</v>
      </c>
      <c r="C20" s="2" t="s">
        <v>11</v>
      </c>
      <c r="D20" s="2" t="s">
        <v>14</v>
      </c>
      <c r="E20" s="2" t="s">
        <v>12</v>
      </c>
      <c r="F20" s="2" t="s">
        <v>13</v>
      </c>
      <c r="G20" s="2" t="s">
        <v>15</v>
      </c>
    </row>
    <row r="21" spans="1:7" x14ac:dyDescent="0.2">
      <c r="A21" s="1" t="s">
        <v>87</v>
      </c>
      <c r="B21" s="3">
        <v>45705</v>
      </c>
      <c r="C21" s="1">
        <v>100</v>
      </c>
      <c r="D21" s="1">
        <v>0</v>
      </c>
      <c r="E21" s="1">
        <v>0</v>
      </c>
      <c r="F21" s="1">
        <v>0</v>
      </c>
      <c r="G21" s="1">
        <f>F21+E21</f>
        <v>0</v>
      </c>
    </row>
    <row r="22" spans="1:7" x14ac:dyDescent="0.2">
      <c r="A22" s="1" t="s">
        <v>87</v>
      </c>
      <c r="B22" s="3">
        <v>45886</v>
      </c>
      <c r="C22" s="1">
        <f t="shared" ref="C22:C33" si="9">C21-F22</f>
        <v>100</v>
      </c>
      <c r="D22" s="4">
        <v>0.08</v>
      </c>
      <c r="E22" s="5">
        <f>((D22*C21)/365)*_xlfn.DAYS(B22,B21)</f>
        <v>3.967123287671233</v>
      </c>
      <c r="F22" s="1">
        <v>0</v>
      </c>
      <c r="G22" s="1">
        <f t="shared" ref="G22:G24" si="10">F22+E22</f>
        <v>3.967123287671233</v>
      </c>
    </row>
    <row r="23" spans="1:7" x14ac:dyDescent="0.2">
      <c r="A23" s="1" t="s">
        <v>87</v>
      </c>
      <c r="B23" s="3">
        <v>46070</v>
      </c>
      <c r="C23" s="1">
        <f t="shared" si="9"/>
        <v>100</v>
      </c>
      <c r="D23" s="4">
        <v>0.08</v>
      </c>
      <c r="E23" s="5">
        <f t="shared" ref="E23:E24" si="11">((D23*C22)/365)*_xlfn.DAYS(B23,B22)</f>
        <v>4.0328767123287674</v>
      </c>
      <c r="F23" s="1">
        <v>0</v>
      </c>
      <c r="G23" s="1">
        <f t="shared" si="10"/>
        <v>4.0328767123287674</v>
      </c>
    </row>
    <row r="24" spans="1:7" x14ac:dyDescent="0.2">
      <c r="A24" s="1" t="s">
        <v>87</v>
      </c>
      <c r="B24" s="3">
        <v>46251</v>
      </c>
      <c r="C24" s="1">
        <f t="shared" si="9"/>
        <v>100</v>
      </c>
      <c r="D24" s="4">
        <v>0.08</v>
      </c>
      <c r="E24" s="5">
        <f t="shared" si="11"/>
        <v>3.967123287671233</v>
      </c>
      <c r="F24" s="1">
        <v>0</v>
      </c>
      <c r="G24" s="1">
        <f t="shared" si="10"/>
        <v>3.967123287671233</v>
      </c>
    </row>
    <row r="25" spans="1:7" x14ac:dyDescent="0.2">
      <c r="A25" s="1" t="s">
        <v>87</v>
      </c>
      <c r="B25" s="3">
        <v>46435</v>
      </c>
      <c r="C25" s="1">
        <f t="shared" si="9"/>
        <v>100</v>
      </c>
      <c r="D25" s="4">
        <v>0.08</v>
      </c>
      <c r="E25" s="5">
        <f t="shared" ref="E25:E33" si="12">((D25*C24)/365)*_xlfn.DAYS(B25,B24)</f>
        <v>4.0328767123287674</v>
      </c>
      <c r="F25" s="1">
        <v>0</v>
      </c>
      <c r="G25" s="1">
        <f t="shared" ref="G25:G33" si="13">F25+E25</f>
        <v>4.0328767123287674</v>
      </c>
    </row>
    <row r="26" spans="1:7" x14ac:dyDescent="0.2">
      <c r="A26" s="1" t="s">
        <v>87</v>
      </c>
      <c r="B26" s="3">
        <v>46616</v>
      </c>
      <c r="C26" s="1">
        <f t="shared" si="9"/>
        <v>100</v>
      </c>
      <c r="D26" s="4">
        <v>0.08</v>
      </c>
      <c r="E26" s="5">
        <f t="shared" si="12"/>
        <v>3.967123287671233</v>
      </c>
      <c r="F26" s="1">
        <v>0</v>
      </c>
      <c r="G26" s="1">
        <f t="shared" si="13"/>
        <v>3.967123287671233</v>
      </c>
    </row>
    <row r="27" spans="1:7" x14ac:dyDescent="0.2">
      <c r="A27" s="1" t="s">
        <v>87</v>
      </c>
      <c r="B27" s="3">
        <v>46800</v>
      </c>
      <c r="C27" s="1">
        <f t="shared" si="9"/>
        <v>100</v>
      </c>
      <c r="D27" s="4">
        <v>0.08</v>
      </c>
      <c r="E27" s="5">
        <f t="shared" si="12"/>
        <v>4.0328767123287674</v>
      </c>
      <c r="F27" s="1">
        <v>0</v>
      </c>
      <c r="G27" s="1">
        <f t="shared" si="13"/>
        <v>4.0328767123287674</v>
      </c>
    </row>
    <row r="28" spans="1:7" x14ac:dyDescent="0.2">
      <c r="A28" s="1" t="s">
        <v>87</v>
      </c>
      <c r="B28" s="3">
        <v>46982</v>
      </c>
      <c r="C28" s="1">
        <f t="shared" si="9"/>
        <v>100</v>
      </c>
      <c r="D28" s="4">
        <v>0.08</v>
      </c>
      <c r="E28" s="5">
        <f t="shared" si="12"/>
        <v>3.989041095890411</v>
      </c>
      <c r="F28" s="1">
        <v>0</v>
      </c>
      <c r="G28" s="1">
        <f t="shared" si="13"/>
        <v>3.989041095890411</v>
      </c>
    </row>
    <row r="29" spans="1:7" x14ac:dyDescent="0.2">
      <c r="A29" s="1" t="s">
        <v>87</v>
      </c>
      <c r="B29" s="3">
        <v>47166</v>
      </c>
      <c r="C29" s="1">
        <f t="shared" si="9"/>
        <v>100</v>
      </c>
      <c r="D29" s="4">
        <v>0.08</v>
      </c>
      <c r="E29" s="5">
        <f t="shared" si="12"/>
        <v>4.0328767123287674</v>
      </c>
      <c r="F29" s="1">
        <v>0</v>
      </c>
      <c r="G29" s="1">
        <f t="shared" si="13"/>
        <v>4.0328767123287674</v>
      </c>
    </row>
    <row r="30" spans="1:7" x14ac:dyDescent="0.2">
      <c r="A30" s="1" t="s">
        <v>87</v>
      </c>
      <c r="B30" s="3">
        <v>47347</v>
      </c>
      <c r="C30" s="1">
        <f t="shared" si="9"/>
        <v>100</v>
      </c>
      <c r="D30" s="4">
        <v>0.08</v>
      </c>
      <c r="E30" s="5">
        <f t="shared" si="12"/>
        <v>3.967123287671233</v>
      </c>
      <c r="F30" s="1">
        <v>0</v>
      </c>
      <c r="G30" s="1">
        <f t="shared" si="13"/>
        <v>3.967123287671233</v>
      </c>
    </row>
    <row r="31" spans="1:7" x14ac:dyDescent="0.2">
      <c r="A31" s="1" t="s">
        <v>87</v>
      </c>
      <c r="B31" s="3">
        <v>47531</v>
      </c>
      <c r="C31" s="1">
        <f t="shared" si="9"/>
        <v>100</v>
      </c>
      <c r="D31" s="4">
        <v>0.08</v>
      </c>
      <c r="E31" s="5">
        <f t="shared" si="12"/>
        <v>4.0328767123287674</v>
      </c>
      <c r="F31" s="1">
        <v>0</v>
      </c>
      <c r="G31" s="1">
        <f t="shared" si="13"/>
        <v>4.0328767123287674</v>
      </c>
    </row>
    <row r="32" spans="1:7" x14ac:dyDescent="0.2">
      <c r="A32" s="1" t="s">
        <v>87</v>
      </c>
      <c r="B32" s="3">
        <v>47712</v>
      </c>
      <c r="C32" s="1">
        <f t="shared" si="9"/>
        <v>100</v>
      </c>
      <c r="D32" s="4">
        <v>0.08</v>
      </c>
      <c r="E32" s="5">
        <f t="shared" si="12"/>
        <v>3.967123287671233</v>
      </c>
      <c r="F32" s="1">
        <v>0</v>
      </c>
      <c r="G32" s="1">
        <f t="shared" si="13"/>
        <v>3.967123287671233</v>
      </c>
    </row>
    <row r="33" spans="1:7" x14ac:dyDescent="0.2">
      <c r="A33" s="1" t="s">
        <v>87</v>
      </c>
      <c r="B33" s="3">
        <v>47896</v>
      </c>
      <c r="C33" s="1">
        <f t="shared" si="9"/>
        <v>0</v>
      </c>
      <c r="D33" s="4">
        <v>0.08</v>
      </c>
      <c r="E33" s="5">
        <f t="shared" si="12"/>
        <v>4.0328767123287674</v>
      </c>
      <c r="F33" s="1">
        <v>100</v>
      </c>
      <c r="G33" s="1">
        <f t="shared" si="13"/>
        <v>104.03287671232877</v>
      </c>
    </row>
    <row r="35" spans="1:7" x14ac:dyDescent="0.2">
      <c r="A35" s="2" t="s">
        <v>0</v>
      </c>
      <c r="B35" s="2" t="s">
        <v>10</v>
      </c>
      <c r="C35" s="2" t="s">
        <v>11</v>
      </c>
      <c r="D35" s="2" t="s">
        <v>14</v>
      </c>
      <c r="E35" s="2" t="s">
        <v>12</v>
      </c>
      <c r="F35" s="2" t="s">
        <v>13</v>
      </c>
      <c r="G35" s="2" t="s">
        <v>15</v>
      </c>
    </row>
    <row r="36" spans="1:7" x14ac:dyDescent="0.2">
      <c r="A36" s="1" t="s">
        <v>88</v>
      </c>
      <c r="B36" s="3">
        <v>45805</v>
      </c>
      <c r="C36" s="1">
        <v>100</v>
      </c>
      <c r="D36" s="1">
        <v>0</v>
      </c>
      <c r="E36" s="1">
        <v>0</v>
      </c>
      <c r="F36" s="1">
        <v>0</v>
      </c>
      <c r="G36" s="1">
        <f>F36+E36</f>
        <v>0</v>
      </c>
    </row>
    <row r="37" spans="1:7" x14ac:dyDescent="0.2">
      <c r="A37" s="1" t="s">
        <v>88</v>
      </c>
      <c r="B37" s="3">
        <f>EDATE(B36,6)</f>
        <v>45989</v>
      </c>
      <c r="C37" s="1">
        <f t="shared" ref="C37:C53" si="14">C36-F37</f>
        <v>100</v>
      </c>
      <c r="D37" s="4">
        <v>9.2499999999999999E-2</v>
      </c>
      <c r="E37" s="5">
        <f>((D37*C36)/360)*DAYS360(B36,B37)</f>
        <v>4.625</v>
      </c>
      <c r="F37" s="1">
        <v>0</v>
      </c>
      <c r="G37" s="1">
        <f t="shared" ref="G37:G40" si="15">F37+E37</f>
        <v>4.625</v>
      </c>
    </row>
    <row r="38" spans="1:7" x14ac:dyDescent="0.2">
      <c r="A38" s="1" t="s">
        <v>88</v>
      </c>
      <c r="B38" s="3">
        <f t="shared" ref="B38:B53" si="16">EDATE(B37,6)</f>
        <v>46170</v>
      </c>
      <c r="C38" s="1">
        <f t="shared" si="14"/>
        <v>100</v>
      </c>
      <c r="D38" s="4">
        <v>9.2499999999999999E-2</v>
      </c>
      <c r="E38" s="5">
        <f t="shared" ref="E38:E53" si="17">((D38*C37)/360)*DAYS360(B37,B38)</f>
        <v>4.625</v>
      </c>
      <c r="F38" s="1">
        <v>0</v>
      </c>
      <c r="G38" s="1">
        <f t="shared" si="15"/>
        <v>4.625</v>
      </c>
    </row>
    <row r="39" spans="1:7" x14ac:dyDescent="0.2">
      <c r="A39" s="1" t="s">
        <v>88</v>
      </c>
      <c r="B39" s="3">
        <f t="shared" si="16"/>
        <v>46354</v>
      </c>
      <c r="C39" s="1">
        <f t="shared" si="14"/>
        <v>100</v>
      </c>
      <c r="D39" s="4">
        <v>9.2499999999999999E-2</v>
      </c>
      <c r="E39" s="5">
        <f t="shared" si="17"/>
        <v>4.625</v>
      </c>
      <c r="F39" s="1">
        <v>0</v>
      </c>
      <c r="G39" s="1">
        <f t="shared" si="15"/>
        <v>4.625</v>
      </c>
    </row>
    <row r="40" spans="1:7" x14ac:dyDescent="0.2">
      <c r="A40" s="1" t="s">
        <v>88</v>
      </c>
      <c r="B40" s="3">
        <f t="shared" si="16"/>
        <v>46535</v>
      </c>
      <c r="C40" s="1">
        <f t="shared" si="14"/>
        <v>100</v>
      </c>
      <c r="D40" s="4">
        <v>9.2499999999999999E-2</v>
      </c>
      <c r="E40" s="5">
        <f t="shared" si="17"/>
        <v>4.625</v>
      </c>
      <c r="F40" s="1">
        <v>0</v>
      </c>
      <c r="G40" s="1">
        <f t="shared" si="15"/>
        <v>4.625</v>
      </c>
    </row>
    <row r="41" spans="1:7" x14ac:dyDescent="0.2">
      <c r="A41" s="1" t="s">
        <v>88</v>
      </c>
      <c r="B41" s="3">
        <f t="shared" si="16"/>
        <v>46719</v>
      </c>
      <c r="C41" s="1">
        <f t="shared" si="14"/>
        <v>100</v>
      </c>
      <c r="D41" s="4">
        <v>9.2499999999999999E-2</v>
      </c>
      <c r="E41" s="5">
        <f t="shared" si="17"/>
        <v>4.625</v>
      </c>
      <c r="F41" s="1">
        <v>0</v>
      </c>
      <c r="G41" s="1">
        <f t="shared" ref="G41:G53" si="18">F41+E41</f>
        <v>4.625</v>
      </c>
    </row>
    <row r="42" spans="1:7" x14ac:dyDescent="0.2">
      <c r="A42" s="1" t="s">
        <v>88</v>
      </c>
      <c r="B42" s="3">
        <f t="shared" si="16"/>
        <v>46901</v>
      </c>
      <c r="C42" s="1">
        <f t="shared" si="14"/>
        <v>100</v>
      </c>
      <c r="D42" s="4">
        <v>9.2499999999999999E-2</v>
      </c>
      <c r="E42" s="5">
        <f t="shared" si="17"/>
        <v>4.625</v>
      </c>
      <c r="F42" s="1">
        <v>0</v>
      </c>
      <c r="G42" s="1">
        <f t="shared" si="18"/>
        <v>4.625</v>
      </c>
    </row>
    <row r="43" spans="1:7" x14ac:dyDescent="0.2">
      <c r="A43" s="1" t="s">
        <v>88</v>
      </c>
      <c r="B43" s="3">
        <f t="shared" si="16"/>
        <v>47085</v>
      </c>
      <c r="C43" s="1">
        <f t="shared" si="14"/>
        <v>100</v>
      </c>
      <c r="D43" s="4">
        <v>9.2499999999999999E-2</v>
      </c>
      <c r="E43" s="5">
        <f t="shared" si="17"/>
        <v>4.625</v>
      </c>
      <c r="F43" s="1">
        <v>0</v>
      </c>
      <c r="G43" s="1">
        <f t="shared" si="18"/>
        <v>4.625</v>
      </c>
    </row>
    <row r="44" spans="1:7" x14ac:dyDescent="0.2">
      <c r="A44" s="1" t="s">
        <v>88</v>
      </c>
      <c r="B44" s="3">
        <f t="shared" si="16"/>
        <v>47266</v>
      </c>
      <c r="C44" s="1">
        <f t="shared" si="14"/>
        <v>100</v>
      </c>
      <c r="D44" s="4">
        <v>9.2499999999999999E-2</v>
      </c>
      <c r="E44" s="5">
        <f t="shared" si="17"/>
        <v>4.625</v>
      </c>
      <c r="F44" s="1">
        <v>0</v>
      </c>
      <c r="G44" s="1">
        <f t="shared" si="18"/>
        <v>4.625</v>
      </c>
    </row>
    <row r="45" spans="1:7" x14ac:dyDescent="0.2">
      <c r="A45" s="1" t="s">
        <v>88</v>
      </c>
      <c r="B45" s="3">
        <f t="shared" si="16"/>
        <v>47450</v>
      </c>
      <c r="C45" s="1">
        <f t="shared" si="14"/>
        <v>100</v>
      </c>
      <c r="D45" s="4">
        <v>9.2499999999999999E-2</v>
      </c>
      <c r="E45" s="5">
        <f t="shared" si="17"/>
        <v>4.625</v>
      </c>
      <c r="F45" s="1">
        <v>0</v>
      </c>
      <c r="G45" s="1">
        <f t="shared" si="18"/>
        <v>4.625</v>
      </c>
    </row>
    <row r="46" spans="1:7" x14ac:dyDescent="0.2">
      <c r="A46" s="1" t="s">
        <v>88</v>
      </c>
      <c r="B46" s="3">
        <f t="shared" si="16"/>
        <v>47631</v>
      </c>
      <c r="C46" s="1">
        <f t="shared" si="14"/>
        <v>100</v>
      </c>
      <c r="D46" s="4">
        <v>9.2499999999999999E-2</v>
      </c>
      <c r="E46" s="5">
        <f t="shared" si="17"/>
        <v>4.625</v>
      </c>
      <c r="F46" s="1">
        <v>0</v>
      </c>
      <c r="G46" s="1">
        <f t="shared" si="18"/>
        <v>4.625</v>
      </c>
    </row>
    <row r="47" spans="1:7" x14ac:dyDescent="0.2">
      <c r="A47" s="1" t="s">
        <v>88</v>
      </c>
      <c r="B47" s="3">
        <f t="shared" si="16"/>
        <v>47815</v>
      </c>
      <c r="C47" s="1">
        <f t="shared" si="14"/>
        <v>100</v>
      </c>
      <c r="D47" s="4">
        <v>9.2499999999999999E-2</v>
      </c>
      <c r="E47" s="5">
        <f t="shared" si="17"/>
        <v>4.625</v>
      </c>
      <c r="F47" s="1">
        <v>0</v>
      </c>
      <c r="G47" s="1">
        <f t="shared" si="18"/>
        <v>4.625</v>
      </c>
    </row>
    <row r="48" spans="1:7" x14ac:dyDescent="0.2">
      <c r="A48" s="1" t="s">
        <v>88</v>
      </c>
      <c r="B48" s="3">
        <f t="shared" si="16"/>
        <v>47996</v>
      </c>
      <c r="C48" s="1">
        <f t="shared" si="14"/>
        <v>100</v>
      </c>
      <c r="D48" s="4">
        <v>9.2499999999999999E-2</v>
      </c>
      <c r="E48" s="5">
        <f t="shared" si="17"/>
        <v>4.625</v>
      </c>
      <c r="F48" s="1">
        <v>0</v>
      </c>
      <c r="G48" s="1">
        <f t="shared" si="18"/>
        <v>4.625</v>
      </c>
    </row>
    <row r="49" spans="1:7" x14ac:dyDescent="0.2">
      <c r="A49" s="1" t="s">
        <v>88</v>
      </c>
      <c r="B49" s="3">
        <f t="shared" si="16"/>
        <v>48180</v>
      </c>
      <c r="C49" s="1">
        <f t="shared" si="14"/>
        <v>100</v>
      </c>
      <c r="D49" s="4">
        <v>9.2499999999999999E-2</v>
      </c>
      <c r="E49" s="5">
        <f t="shared" si="17"/>
        <v>4.625</v>
      </c>
      <c r="F49" s="1">
        <v>0</v>
      </c>
      <c r="G49" s="1">
        <f t="shared" si="18"/>
        <v>4.625</v>
      </c>
    </row>
    <row r="50" spans="1:7" x14ac:dyDescent="0.2">
      <c r="A50" s="1" t="s">
        <v>88</v>
      </c>
      <c r="B50" s="3">
        <f t="shared" si="16"/>
        <v>48362</v>
      </c>
      <c r="C50" s="1">
        <f t="shared" si="14"/>
        <v>100</v>
      </c>
      <c r="D50" s="4">
        <v>9.2499999999999999E-2</v>
      </c>
      <c r="E50" s="5">
        <f t="shared" si="17"/>
        <v>4.625</v>
      </c>
      <c r="F50" s="1">
        <v>0</v>
      </c>
      <c r="G50" s="1">
        <f t="shared" si="18"/>
        <v>4.625</v>
      </c>
    </row>
    <row r="51" spans="1:7" x14ac:dyDescent="0.2">
      <c r="A51" s="1" t="s">
        <v>88</v>
      </c>
      <c r="B51" s="3">
        <f t="shared" si="16"/>
        <v>48546</v>
      </c>
      <c r="C51" s="1">
        <f t="shared" si="14"/>
        <v>50</v>
      </c>
      <c r="D51" s="4">
        <v>9.2499999999999999E-2</v>
      </c>
      <c r="E51" s="5">
        <f t="shared" si="17"/>
        <v>4.625</v>
      </c>
      <c r="F51" s="1">
        <v>50</v>
      </c>
      <c r="G51" s="1">
        <f t="shared" si="18"/>
        <v>54.625</v>
      </c>
    </row>
    <row r="52" spans="1:7" x14ac:dyDescent="0.2">
      <c r="A52" s="1" t="s">
        <v>88</v>
      </c>
      <c r="B52" s="3">
        <f t="shared" si="16"/>
        <v>48727</v>
      </c>
      <c r="C52" s="1">
        <f t="shared" si="14"/>
        <v>50</v>
      </c>
      <c r="D52" s="4">
        <v>9.2499999999999999E-2</v>
      </c>
      <c r="E52" s="5">
        <f t="shared" si="17"/>
        <v>2.3125</v>
      </c>
      <c r="F52" s="1">
        <v>0</v>
      </c>
      <c r="G52" s="1">
        <f t="shared" si="18"/>
        <v>2.3125</v>
      </c>
    </row>
    <row r="53" spans="1:7" x14ac:dyDescent="0.2">
      <c r="A53" s="1" t="s">
        <v>88</v>
      </c>
      <c r="B53" s="3">
        <f t="shared" si="16"/>
        <v>48911</v>
      </c>
      <c r="C53" s="1">
        <f t="shared" si="14"/>
        <v>0</v>
      </c>
      <c r="D53" s="4">
        <v>9.2499999999999999E-2</v>
      </c>
      <c r="E53" s="5">
        <f t="shared" si="17"/>
        <v>2.3125</v>
      </c>
      <c r="F53" s="1">
        <v>50</v>
      </c>
      <c r="G53" s="1">
        <f t="shared" si="18"/>
        <v>52.3125</v>
      </c>
    </row>
    <row r="55" spans="1:7" x14ac:dyDescent="0.2">
      <c r="A55" s="2" t="s">
        <v>0</v>
      </c>
      <c r="B55" s="2" t="s">
        <v>10</v>
      </c>
      <c r="C55" s="2" t="s">
        <v>11</v>
      </c>
      <c r="D55" s="2" t="s">
        <v>14</v>
      </c>
      <c r="E55" s="2" t="s">
        <v>12</v>
      </c>
      <c r="F55" s="2" t="s">
        <v>13</v>
      </c>
      <c r="G55" s="2" t="s">
        <v>15</v>
      </c>
    </row>
    <row r="56" spans="1:7" x14ac:dyDescent="0.2">
      <c r="A56" s="1" t="s">
        <v>89</v>
      </c>
      <c r="B56" s="3">
        <v>45993</v>
      </c>
      <c r="C56" s="1">
        <v>100</v>
      </c>
      <c r="D56" s="1">
        <v>0</v>
      </c>
      <c r="E56" s="1">
        <v>0</v>
      </c>
      <c r="F56" s="1">
        <v>0</v>
      </c>
      <c r="G56" s="1">
        <f>F56+E56</f>
        <v>0</v>
      </c>
    </row>
    <row r="57" spans="1:7" x14ac:dyDescent="0.2">
      <c r="A57" s="1" t="s">
        <v>89</v>
      </c>
      <c r="B57" s="3">
        <v>46175</v>
      </c>
      <c r="C57" s="1">
        <f t="shared" ref="C57:C72" si="19">C56-F57</f>
        <v>100</v>
      </c>
      <c r="D57" s="4">
        <v>7.7499999999999999E-2</v>
      </c>
      <c r="E57" s="5">
        <f>((D57*C56)/360)*DAYS360(B56,B57)</f>
        <v>3.875</v>
      </c>
      <c r="F57" s="1">
        <v>0</v>
      </c>
      <c r="G57" s="1">
        <f t="shared" ref="G57:G59" si="20">F57+E57</f>
        <v>3.875</v>
      </c>
    </row>
    <row r="58" spans="1:7" x14ac:dyDescent="0.2">
      <c r="A58" s="1" t="s">
        <v>89</v>
      </c>
      <c r="B58" s="3">
        <v>46358</v>
      </c>
      <c r="C58" s="1">
        <f t="shared" si="19"/>
        <v>100</v>
      </c>
      <c r="D58" s="4">
        <v>7.7499999999999999E-2</v>
      </c>
      <c r="E58" s="5">
        <f t="shared" ref="E58:E59" si="21">((D58*C57)/360)*DAYS360(B57,B58)</f>
        <v>3.875</v>
      </c>
      <c r="F58" s="1">
        <v>0</v>
      </c>
      <c r="G58" s="1">
        <f t="shared" si="20"/>
        <v>3.875</v>
      </c>
    </row>
    <row r="59" spans="1:7" x14ac:dyDescent="0.2">
      <c r="A59" s="1" t="s">
        <v>89</v>
      </c>
      <c r="B59" s="3">
        <v>46540</v>
      </c>
      <c r="C59" s="1">
        <f t="shared" si="19"/>
        <v>100</v>
      </c>
      <c r="D59" s="4">
        <v>7.7499999999999999E-2</v>
      </c>
      <c r="E59" s="5">
        <f t="shared" si="21"/>
        <v>3.875</v>
      </c>
      <c r="F59" s="1">
        <v>0</v>
      </c>
      <c r="G59" s="1">
        <f t="shared" si="20"/>
        <v>3.875</v>
      </c>
    </row>
    <row r="60" spans="1:7" x14ac:dyDescent="0.2">
      <c r="A60" s="1" t="s">
        <v>89</v>
      </c>
      <c r="B60" s="3">
        <v>46723</v>
      </c>
      <c r="C60" s="1">
        <f t="shared" si="19"/>
        <v>100</v>
      </c>
      <c r="D60" s="4">
        <v>7.7499999999999999E-2</v>
      </c>
      <c r="E60" s="5">
        <f t="shared" ref="E60:E72" si="22">((D60*C59)/360)*DAYS360(B59,B60)</f>
        <v>3.875</v>
      </c>
      <c r="F60" s="1">
        <v>0</v>
      </c>
      <c r="G60" s="1">
        <f t="shared" ref="G60:G72" si="23">F60+E60</f>
        <v>3.875</v>
      </c>
    </row>
    <row r="61" spans="1:7" x14ac:dyDescent="0.2">
      <c r="A61" s="1" t="s">
        <v>89</v>
      </c>
      <c r="B61" s="3">
        <v>46906</v>
      </c>
      <c r="C61" s="1">
        <f t="shared" si="19"/>
        <v>100</v>
      </c>
      <c r="D61" s="4">
        <v>7.7499999999999999E-2</v>
      </c>
      <c r="E61" s="5">
        <f t="shared" si="22"/>
        <v>3.875</v>
      </c>
      <c r="F61" s="1">
        <v>0</v>
      </c>
      <c r="G61" s="1">
        <f t="shared" si="23"/>
        <v>3.875</v>
      </c>
    </row>
    <row r="62" spans="1:7" x14ac:dyDescent="0.2">
      <c r="A62" s="1" t="s">
        <v>89</v>
      </c>
      <c r="B62" s="3">
        <v>47089</v>
      </c>
      <c r="C62" s="1">
        <f t="shared" si="19"/>
        <v>100</v>
      </c>
      <c r="D62" s="4">
        <v>7.7499999999999999E-2</v>
      </c>
      <c r="E62" s="5">
        <f t="shared" si="22"/>
        <v>3.875</v>
      </c>
      <c r="F62" s="1">
        <v>0</v>
      </c>
      <c r="G62" s="1">
        <f t="shared" si="23"/>
        <v>3.875</v>
      </c>
    </row>
    <row r="63" spans="1:7" x14ac:dyDescent="0.2">
      <c r="A63" s="1" t="s">
        <v>89</v>
      </c>
      <c r="B63" s="3">
        <v>47271</v>
      </c>
      <c r="C63" s="1">
        <f t="shared" si="19"/>
        <v>100</v>
      </c>
      <c r="D63" s="4">
        <v>7.7499999999999999E-2</v>
      </c>
      <c r="E63" s="5">
        <f t="shared" si="22"/>
        <v>3.875</v>
      </c>
      <c r="F63" s="1">
        <v>0</v>
      </c>
      <c r="G63" s="1">
        <f t="shared" si="23"/>
        <v>3.875</v>
      </c>
    </row>
    <row r="64" spans="1:7" x14ac:dyDescent="0.2">
      <c r="A64" s="1" t="s">
        <v>89</v>
      </c>
      <c r="B64" s="3">
        <v>47454</v>
      </c>
      <c r="C64" s="1">
        <f t="shared" si="19"/>
        <v>100</v>
      </c>
      <c r="D64" s="4">
        <v>7.7499999999999999E-2</v>
      </c>
      <c r="E64" s="5">
        <f t="shared" si="22"/>
        <v>3.875</v>
      </c>
      <c r="F64" s="1">
        <v>0</v>
      </c>
      <c r="G64" s="1">
        <f t="shared" si="23"/>
        <v>3.875</v>
      </c>
    </row>
    <row r="65" spans="1:7" x14ac:dyDescent="0.2">
      <c r="A65" s="1" t="s">
        <v>89</v>
      </c>
      <c r="B65" s="3">
        <v>47636</v>
      </c>
      <c r="C65" s="1">
        <f t="shared" si="19"/>
        <v>100</v>
      </c>
      <c r="D65" s="4">
        <v>7.7499999999999999E-2</v>
      </c>
      <c r="E65" s="5">
        <f t="shared" si="22"/>
        <v>3.875</v>
      </c>
      <c r="F65" s="1">
        <v>0</v>
      </c>
      <c r="G65" s="1">
        <f t="shared" si="23"/>
        <v>3.875</v>
      </c>
    </row>
    <row r="66" spans="1:7" x14ac:dyDescent="0.2">
      <c r="A66" s="1" t="s">
        <v>89</v>
      </c>
      <c r="B66" s="3">
        <v>47819</v>
      </c>
      <c r="C66" s="1">
        <f t="shared" si="19"/>
        <v>100</v>
      </c>
      <c r="D66" s="4">
        <v>7.7499999999999999E-2</v>
      </c>
      <c r="E66" s="5">
        <f t="shared" si="22"/>
        <v>3.875</v>
      </c>
      <c r="F66" s="1">
        <v>0</v>
      </c>
      <c r="G66" s="1">
        <f t="shared" si="23"/>
        <v>3.875</v>
      </c>
    </row>
    <row r="67" spans="1:7" x14ac:dyDescent="0.2">
      <c r="A67" s="1" t="s">
        <v>89</v>
      </c>
      <c r="B67" s="3">
        <v>48001</v>
      </c>
      <c r="C67" s="1">
        <f t="shared" si="19"/>
        <v>100</v>
      </c>
      <c r="D67" s="4">
        <v>7.7499999999999999E-2</v>
      </c>
      <c r="E67" s="5">
        <f t="shared" si="22"/>
        <v>3.875</v>
      </c>
      <c r="F67" s="1">
        <v>0</v>
      </c>
      <c r="G67" s="1">
        <f t="shared" si="23"/>
        <v>3.875</v>
      </c>
    </row>
    <row r="68" spans="1:7" x14ac:dyDescent="0.2">
      <c r="A68" s="1" t="s">
        <v>89</v>
      </c>
      <c r="B68" s="3">
        <v>48184</v>
      </c>
      <c r="C68" s="1">
        <f t="shared" si="19"/>
        <v>67</v>
      </c>
      <c r="D68" s="4">
        <v>7.7499999999999999E-2</v>
      </c>
      <c r="E68" s="5">
        <f t="shared" si="22"/>
        <v>3.875</v>
      </c>
      <c r="F68" s="1">
        <v>33</v>
      </c>
      <c r="G68" s="1">
        <f t="shared" si="23"/>
        <v>36.875</v>
      </c>
    </row>
    <row r="69" spans="1:7" x14ac:dyDescent="0.2">
      <c r="A69" s="1" t="s">
        <v>89</v>
      </c>
      <c r="B69" s="3">
        <v>48367</v>
      </c>
      <c r="C69" s="1">
        <f t="shared" si="19"/>
        <v>67</v>
      </c>
      <c r="D69" s="4">
        <v>7.7499999999999999E-2</v>
      </c>
      <c r="E69" s="5">
        <f t="shared" si="22"/>
        <v>2.5962499999999999</v>
      </c>
      <c r="F69" s="1">
        <v>0</v>
      </c>
      <c r="G69" s="1">
        <f t="shared" si="23"/>
        <v>2.5962499999999999</v>
      </c>
    </row>
    <row r="70" spans="1:7" x14ac:dyDescent="0.2">
      <c r="A70" s="1" t="s">
        <v>89</v>
      </c>
      <c r="B70" s="3">
        <v>48550</v>
      </c>
      <c r="C70" s="1">
        <f t="shared" si="19"/>
        <v>34</v>
      </c>
      <c r="D70" s="4">
        <v>7.7499999999999999E-2</v>
      </c>
      <c r="E70" s="5">
        <f t="shared" si="22"/>
        <v>2.5962499999999999</v>
      </c>
      <c r="F70" s="1">
        <v>33</v>
      </c>
      <c r="G70" s="1">
        <f t="shared" si="23"/>
        <v>35.596249999999998</v>
      </c>
    </row>
    <row r="71" spans="1:7" x14ac:dyDescent="0.2">
      <c r="A71" s="1" t="s">
        <v>89</v>
      </c>
      <c r="B71" s="3">
        <v>48732</v>
      </c>
      <c r="C71" s="1">
        <f t="shared" si="19"/>
        <v>34</v>
      </c>
      <c r="D71" s="4">
        <v>7.7499999999999999E-2</v>
      </c>
      <c r="E71" s="5">
        <f t="shared" si="22"/>
        <v>1.3174999999999999</v>
      </c>
      <c r="F71" s="1">
        <v>0</v>
      </c>
      <c r="G71" s="1">
        <f t="shared" si="23"/>
        <v>1.3174999999999999</v>
      </c>
    </row>
    <row r="72" spans="1:7" x14ac:dyDescent="0.2">
      <c r="A72" s="1" t="s">
        <v>89</v>
      </c>
      <c r="B72" s="3">
        <v>48915</v>
      </c>
      <c r="C72" s="1">
        <f t="shared" si="19"/>
        <v>0</v>
      </c>
      <c r="D72" s="4">
        <v>7.7499999999999999E-2</v>
      </c>
      <c r="E72" s="5">
        <f t="shared" si="22"/>
        <v>1.3174999999999999</v>
      </c>
      <c r="F72" s="1">
        <v>34</v>
      </c>
      <c r="G72" s="1">
        <f t="shared" si="23"/>
        <v>35.317500000000003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LECAPS</vt:lpstr>
      <vt:lpstr>TASA FIJA</vt:lpstr>
      <vt:lpstr>CER</vt:lpstr>
      <vt:lpstr>TAMAR</vt:lpstr>
      <vt:lpstr>USD Linked</vt:lpstr>
      <vt:lpstr>USD Bonares</vt:lpstr>
      <vt:lpstr>USD Globales</vt:lpstr>
      <vt:lpstr>USD Bopreales</vt:lpstr>
      <vt:lpstr>Duales</vt:lpstr>
      <vt:lpstr>ON USD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Granda</dc:creator>
  <cp:lastModifiedBy>Francisco Granda</cp:lastModifiedBy>
  <dcterms:created xsi:type="dcterms:W3CDTF">2026-05-20T13:17:11Z</dcterms:created>
  <dcterms:modified xsi:type="dcterms:W3CDTF">2026-07-06T20:32:03Z</dcterms:modified>
</cp:coreProperties>
</file>