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<sst xmlns="http://schemas.openxmlformats.org/spreadsheetml/2006/main" count="2963" uniqueCount="461">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</sst>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 t="inlineStr">
        <is>
          <t>S16O6</t>
        </is>
      </c>
      <c r="B18" s="1" t="inlineStr">
        <is>
          <t>LECAP</t>
        </is>
      </c>
      <c r="C18" s="3">
        <v>46234</v>
      </c>
      <c r="D18" s="3">
        <v>46311</v>
      </c>
      <c r="E18" s="1">
        <v>2.05</v>
      </c>
      <c r="F18" s="7">
        <f>DAYS360(C18,D18)/30</f>
        <v>2.533333333333333</v>
      </c>
      <c r="G18" s="1">
        <f>100*(1+E18/100)^F18</f>
        <v>105.2752519814636</v>
      </c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  <row r="11" spans="1:6" x14ac:dyDescent="0.2">
      <c r="A11" s="1" t="inlineStr">
        <is>
          <t>D15E7</t>
        </is>
      </c>
      <c r="B11" s="1" t="inlineStr">
        <is>
          <t>Linked</t>
        </is>
      </c>
      <c r="C11" s="3">
        <v>46234</v>
      </c>
      <c r="D11" s="3">
        <v>46402</v>
      </c>
      <c r="E11" s="1">
        <v>1499.84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8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0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164</v>
      </c>
      <c r="B6" s="1" t="s">
        <v>165</v>
      </c>
      <c r="C6" s="3">
        <v>49289</v>
      </c>
    </row>
    <row r="7" spans="1:3">
      <c r="A7" s="1" t="s">
        <v>122</v>
      </c>
      <c r="B7" s="1" t="s">
        <v>123</v>
      </c>
      <c r="C7" s="3">
        <v>49343</v>
      </c>
    </row>
    <row r="8" spans="1:3">
      <c r="A8" s="1" t="s">
        <v>116</v>
      </c>
      <c r="B8" s="1" t="s">
        <v>117</v>
      </c>
      <c r="C8" s="3">
        <v>49808</v>
      </c>
    </row>
    <row r="9" spans="1:3">
      <c r="A9" s="1" t="s">
        <v>110</v>
      </c>
      <c r="B9" s="1" t="s">
        <v>166</v>
      </c>
      <c r="C9" s="3">
        <v>50284</v>
      </c>
    </row>
    <row r="10" spans="1:3">
      <c r="A10" s="1" t="s">
        <v>112</v>
      </c>
      <c r="B10" s="1" t="s">
        <v>167</v>
      </c>
      <c r="C10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89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2" spans="1:5">
      <c r="A2" s="1" t="s">
        <v>282</v>
      </c>
      <c r="B2" s="1" t="s">
        <v>283</v>
      </c>
      <c r="C2" s="3">
        <v>46256</v>
      </c>
      <c r="D2" s="1" t="s">
        <v>242</v>
      </c>
      <c r="E2" s="1" t="s">
        <v>448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1" spans="1:5">
      <c r="A11" s="1" t="s">
        <v>455</v>
      </c>
      <c r="B11" s="1" t="s">
        <v>456</v>
      </c>
      <c r="C11" s="3">
        <v>46529</v>
      </c>
      <c r="D11" s="1" t="s">
        <v>242</v>
      </c>
      <c r="E11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48727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612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